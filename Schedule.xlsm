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fileSharing readOnlyRecommended="1" userName="정 민기" algorithmName="SHA-512" hashValue="zDSE8RO+zbU1K5goqVf5h6FVBy7Xmpue48ZC1ExckMlN8H+jmi0BrnHa15vyR93kKokUTWNypXjfAxeRRG+BBQ==" saltValue="2iqlq01MOSb5bTOnj2QQeg==" spinCount="100000"/>
  <workbookPr defaultThemeVersion="166925"/>
  <mc:AlternateContent xmlns:mc="http://schemas.openxmlformats.org/markup-compatibility/2006">
    <mc:Choice Requires="x15">
      <x15ac:absPath xmlns:x15ac="http://schemas.microsoft.com/office/spreadsheetml/2010/11/ac" url="/Users/jonmingi/DokBak/Private_Coding/DokBak_Shell_CMD/"/>
    </mc:Choice>
  </mc:AlternateContent>
  <xr:revisionPtr revIDLastSave="0" documentId="13_ncr:10001_{0012E50C-C3BA-AF44-A8A2-20DC605D29EC}" xr6:coauthVersionLast="47" xr6:coauthVersionMax="47" xr10:uidLastSave="{00000000-0000-0000-0000-000000000000}"/>
  <bookViews>
    <workbookView xWindow="29720" yWindow="3280" windowWidth="26940" windowHeight="16620" xr2:uid="{741E859E-A02F-8140-885D-DB0FA491146C}"/>
  </bookViews>
  <sheets>
    <sheet name="Gantt Chart" sheetId="1" r:id="rId1"/>
    <sheet name="0.List" sheetId="2" r:id="rId2"/>
    <sheet name="1.check_data_encoding" sheetId="3" r:id="rId3"/>
    <sheet name="2.check_data_newLine" sheetId="4" r:id="rId4"/>
    <sheet name="3.check_data_enclosing" sheetId="5" r:id="rId5"/>
    <sheet name="4.check_data_delimiting" sheetId="6" r:id="rId6"/>
    <sheet name="5.check_data_outputType" sheetId="9" r:id="rId7"/>
    <sheet name="6.check_data_trim" sheetId="10" r:id="rId8"/>
    <sheet name="7.check_data_dataType" sheetId="11" r:id="rId9"/>
    <sheet name="8.check_data_fileName" sheetId="12" r:id="rId10"/>
    <sheet name="9.main" sheetId="13"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47" i="1" l="1"/>
  <c r="W47" i="1" s="1"/>
  <c r="Z46" i="1"/>
  <c r="W46" i="1" s="1"/>
  <c r="Z45" i="1"/>
  <c r="W45" i="1" s="1"/>
  <c r="Z44" i="1"/>
  <c r="W44" i="1" s="1"/>
  <c r="Z43" i="1"/>
  <c r="W43" i="1" s="1"/>
  <c r="Z42" i="1"/>
  <c r="W42" i="1" s="1"/>
  <c r="Z41" i="1"/>
  <c r="W41" i="1" s="1"/>
  <c r="Z40" i="1"/>
  <c r="W40" i="1" s="1"/>
  <c r="Z39" i="1"/>
  <c r="W39" i="1" s="1"/>
  <c r="Z38" i="1"/>
  <c r="W38" i="1" s="1"/>
  <c r="Z37" i="1"/>
  <c r="W37" i="1" s="1"/>
  <c r="Z36" i="1"/>
  <c r="W36" i="1" s="1"/>
  <c r="Z35" i="1"/>
  <c r="W35" i="1" s="1"/>
  <c r="Z34" i="1"/>
  <c r="W34" i="1" s="1"/>
  <c r="Z33" i="1"/>
  <c r="W33" i="1" s="1"/>
  <c r="Z32" i="1"/>
  <c r="W32" i="1" s="1"/>
  <c r="Z31" i="1"/>
  <c r="W31" i="1" s="1"/>
  <c r="Z30" i="1"/>
  <c r="W30" i="1" s="1"/>
  <c r="Z29" i="1"/>
  <c r="W29" i="1" s="1"/>
  <c r="Z28" i="1"/>
  <c r="W28" i="1" s="1"/>
  <c r="Z27" i="1"/>
  <c r="W27" i="1" s="1"/>
  <c r="Z26" i="1"/>
  <c r="W26" i="1" s="1"/>
  <c r="Z25" i="1"/>
  <c r="W25" i="1" s="1"/>
  <c r="Z24" i="1"/>
  <c r="W24" i="1" s="1"/>
  <c r="Z23" i="1"/>
  <c r="W23" i="1" s="1"/>
  <c r="Z5" i="1"/>
  <c r="W5" i="1" s="1"/>
  <c r="Z6" i="1"/>
  <c r="W6" i="1" s="1"/>
  <c r="Z7" i="1"/>
  <c r="W7" i="1" s="1"/>
  <c r="Z8" i="1"/>
  <c r="W8" i="1" s="1"/>
  <c r="Z9" i="1"/>
  <c r="W9" i="1" s="1"/>
  <c r="Z10" i="1"/>
  <c r="W10" i="1" s="1"/>
  <c r="Z11" i="1"/>
  <c r="W11" i="1" s="1"/>
  <c r="Z12" i="1"/>
  <c r="W12" i="1" s="1"/>
  <c r="Z13" i="1"/>
  <c r="W13" i="1" s="1"/>
  <c r="Z14" i="1"/>
  <c r="W14" i="1" s="1"/>
  <c r="Z15" i="1"/>
  <c r="W15" i="1" s="1"/>
  <c r="Z16" i="1"/>
  <c r="W16" i="1" s="1"/>
  <c r="Z17" i="1"/>
  <c r="W17" i="1" s="1"/>
  <c r="Z18" i="1"/>
  <c r="W18" i="1" s="1"/>
  <c r="Z19" i="1"/>
  <c r="W19" i="1" s="1"/>
  <c r="Z20" i="1"/>
  <c r="W20" i="1" s="1"/>
  <c r="Z21" i="1"/>
  <c r="W21" i="1" s="1"/>
  <c r="Z22" i="1"/>
  <c r="W22" i="1" s="1"/>
  <c r="Z4" i="1"/>
  <c r="W4" i="1" s="1"/>
  <c r="AG2" i="1"/>
  <c r="AH2" i="1" s="1"/>
  <c r="AI2" i="1" s="1"/>
  <c r="AJ2" i="1" s="1"/>
  <c r="AK2" i="1" s="1"/>
  <c r="AL2" i="1" s="1"/>
  <c r="AM2" i="1" s="1"/>
  <c r="AN2" i="1" s="1"/>
  <c r="AO2" i="1" s="1"/>
  <c r="AP2" i="1" s="1"/>
  <c r="AQ2" i="1" s="1"/>
  <c r="AR2" i="1" s="1"/>
  <c r="AS2" i="1" s="1"/>
  <c r="AT2" i="1" s="1"/>
  <c r="AU2" i="1" s="1"/>
  <c r="AV2" i="1" s="1"/>
  <c r="AW2" i="1" s="1"/>
  <c r="AX2" i="1" s="1"/>
  <c r="AY2" i="1" s="1"/>
  <c r="AZ2" i="1" s="1"/>
  <c r="BA2" i="1" l="1"/>
  <c r="BB2" i="1" s="1"/>
  <c r="BC2" i="1" s="1"/>
  <c r="BD2" i="1" s="1"/>
  <c r="BE2" i="1" s="1"/>
  <c r="BF2" i="1" s="1"/>
  <c r="BG2" i="1" s="1"/>
  <c r="BH2" i="1" s="1"/>
  <c r="BI2" i="1" s="1"/>
  <c r="BJ2" i="1" s="1"/>
  <c r="BK2" i="1" s="1"/>
  <c r="BL2" i="1" s="1"/>
  <c r="BM2" i="1" s="1"/>
  <c r="BN2" i="1" s="1"/>
  <c r="BO2" i="1" s="1"/>
  <c r="BP2" i="1" s="1"/>
  <c r="BQ2" i="1" s="1"/>
  <c r="BR2" i="1" s="1"/>
  <c r="BS2" i="1" s="1"/>
  <c r="BT2" i="1" s="1"/>
  <c r="BU2" i="1" s="1"/>
  <c r="BV2" i="1" s="1"/>
  <c r="BW2" i="1" s="1"/>
  <c r="BX2" i="1" s="1"/>
  <c r="BY2" i="1" s="1"/>
  <c r="BZ2" i="1" s="1"/>
  <c r="CA2" i="1" s="1"/>
  <c r="CB2" i="1" s="1"/>
  <c r="CC2" i="1" s="1"/>
  <c r="CD2" i="1" s="1"/>
  <c r="CE2" i="1" s="1"/>
  <c r="CF2" i="1" s="1"/>
  <c r="CG2" i="1" s="1"/>
  <c r="CH2" i="1" s="1"/>
  <c r="CI2" i="1" s="1"/>
  <c r="CJ2" i="1" s="1"/>
  <c r="CK2" i="1" s="1"/>
  <c r="CL2" i="1" s="1"/>
  <c r="CM2" i="1" s="1"/>
  <c r="CN2" i="1" s="1"/>
  <c r="CO2" i="1" s="1"/>
  <c r="CP2" i="1" s="1"/>
  <c r="CQ2" i="1" s="1"/>
  <c r="CR2" i="1" s="1"/>
  <c r="CS2" i="1" s="1"/>
  <c r="CT2" i="1" s="1"/>
  <c r="CU2" i="1" s="1"/>
  <c r="CV2" i="1" s="1"/>
  <c r="CW2" i="1" s="1"/>
  <c r="CX2" i="1" s="1"/>
  <c r="CY2" i="1" s="1"/>
  <c r="CZ2" i="1" s="1"/>
  <c r="DA2" i="1" s="1"/>
  <c r="DB2" i="1" s="1"/>
  <c r="DC2" i="1" s="1"/>
  <c r="DD2" i="1" s="1"/>
  <c r="DE2" i="1" s="1"/>
  <c r="DF2" i="1" s="1"/>
  <c r="DG2" i="1" s="1"/>
  <c r="DH2" i="1" s="1"/>
  <c r="DI2" i="1" s="1"/>
  <c r="DJ2" i="1" s="1"/>
  <c r="DK2" i="1" s="1"/>
  <c r="DL2" i="1" s="1"/>
  <c r="DM2" i="1" s="1"/>
  <c r="DN2" i="1" s="1"/>
  <c r="DO2" i="1" s="1"/>
  <c r="DP2" i="1" s="1"/>
  <c r="DQ2" i="1" s="1"/>
  <c r="DR2" i="1" s="1"/>
  <c r="DS2" i="1" s="1"/>
  <c r="DT2" i="1" s="1"/>
  <c r="DU2" i="1" s="1"/>
  <c r="DV2" i="1" s="1"/>
  <c r="DW2" i="1" s="1"/>
  <c r="DX2" i="1" s="1"/>
  <c r="DY2" i="1" s="1"/>
  <c r="DZ2" i="1" s="1"/>
  <c r="EA2" i="1" s="1"/>
  <c r="EB2" i="1" s="1"/>
  <c r="EC2" i="1" s="1"/>
  <c r="ED2" i="1" s="1"/>
  <c r="EE2" i="1" s="1"/>
  <c r="EF2" i="1" s="1"/>
  <c r="EG2" i="1" s="1"/>
  <c r="EH2" i="1" s="1"/>
  <c r="EI2" i="1" s="1"/>
  <c r="EJ2" i="1" s="1"/>
  <c r="EK2" i="1" s="1"/>
  <c r="EL2" i="1" s="1"/>
  <c r="EM2" i="1" s="1"/>
  <c r="EN2" i="1" s="1"/>
  <c r="EO2" i="1" s="1"/>
  <c r="EP2" i="1" s="1"/>
  <c r="EQ2" i="1" s="1"/>
  <c r="ER2" i="1" s="1"/>
  <c r="ES2" i="1" s="1"/>
  <c r="ET2" i="1" s="1"/>
  <c r="EU2" i="1" s="1"/>
  <c r="EV2" i="1" s="1"/>
  <c r="EW2" i="1" s="1"/>
  <c r="EX2" i="1" s="1"/>
  <c r="EY2" i="1" s="1"/>
  <c r="EZ2" i="1" s="1"/>
  <c r="FA2" i="1" s="1"/>
  <c r="FB2" i="1" s="1"/>
  <c r="FC2" i="1" s="1"/>
  <c r="FD2" i="1" s="1"/>
  <c r="FE2" i="1" s="1"/>
  <c r="FF2" i="1" s="1"/>
  <c r="FG2" i="1" s="1"/>
  <c r="FH2" i="1" s="1"/>
  <c r="FI2" i="1" s="1"/>
  <c r="FJ2" i="1" s="1"/>
  <c r="FK2" i="1" s="1"/>
  <c r="FL2" i="1" s="1"/>
  <c r="FM2" i="1" s="1"/>
  <c r="FN2" i="1" s="1"/>
  <c r="FO2" i="1" s="1"/>
  <c r="FP2" i="1" s="1"/>
  <c r="FQ2" i="1" s="1"/>
  <c r="FR2" i="1" s="1"/>
  <c r="FS2" i="1" s="1"/>
  <c r="FT2" i="1" s="1"/>
  <c r="FU2" i="1" s="1"/>
  <c r="FV2" i="1" s="1"/>
  <c r="FW2" i="1" s="1"/>
  <c r="FX2" i="1" s="1"/>
  <c r="FY2" i="1" s="1"/>
  <c r="FZ2" i="1" s="1"/>
  <c r="GA2" i="1" s="1"/>
  <c r="GB2" i="1" s="1"/>
  <c r="GC2" i="1" s="1"/>
</calcChain>
</file>

<file path=xl/sharedStrings.xml><?xml version="1.0" encoding="utf-8"?>
<sst xmlns="http://schemas.openxmlformats.org/spreadsheetml/2006/main" count="610" uniqueCount="146">
  <si>
    <t>分類</t>
    <phoneticPr fontId="1" type="noConversion"/>
  </si>
  <si>
    <t>設計</t>
  </si>
  <si>
    <t>設計</t>
    <phoneticPr fontId="1" type="noConversion"/>
  </si>
  <si>
    <t>担当者</t>
    <phoneticPr fontId="1" type="noConversion"/>
  </si>
  <si>
    <t>DokBak</t>
  </si>
  <si>
    <t>DokBak</t>
    <phoneticPr fontId="1" type="noConversion"/>
  </si>
  <si>
    <t>タスク</t>
    <phoneticPr fontId="1" type="noConversion"/>
  </si>
  <si>
    <t>状況</t>
    <phoneticPr fontId="1" type="noConversion"/>
  </si>
  <si>
    <t>開始
予定</t>
    <phoneticPr fontId="1" type="noConversion"/>
  </si>
  <si>
    <t>完了
予定</t>
    <phoneticPr fontId="1" type="noConversion"/>
  </si>
  <si>
    <t>予定</t>
    <phoneticPr fontId="1" type="noConversion"/>
  </si>
  <si>
    <t>実装</t>
    <phoneticPr fontId="1" type="noConversion"/>
  </si>
  <si>
    <t>進捗率</t>
    <phoneticPr fontId="1" type="noConversion"/>
  </si>
  <si>
    <t>月</t>
    <phoneticPr fontId="1" type="noConversion"/>
  </si>
  <si>
    <t>日</t>
    <phoneticPr fontId="1" type="noConversion"/>
  </si>
  <si>
    <t>開発</t>
  </si>
  <si>
    <t>開発</t>
    <phoneticPr fontId="1" type="noConversion"/>
  </si>
  <si>
    <t>文字コードチェック関数</t>
  </si>
  <si>
    <t>文字コードチェック関数</t>
    <phoneticPr fontId="1" type="noConversion"/>
  </si>
  <si>
    <t>改行コードチェック関数</t>
  </si>
  <si>
    <t>改行コードチェック関数</t>
    <phoneticPr fontId="1" type="noConversion"/>
  </si>
  <si>
    <t>囲み文字チェック関数</t>
  </si>
  <si>
    <t>囲み文字チェック関数</t>
    <phoneticPr fontId="1" type="noConversion"/>
  </si>
  <si>
    <t>区切り文字チェック関数</t>
  </si>
  <si>
    <t>区切り文字チェック関数</t>
    <phoneticPr fontId="1" type="noConversion"/>
  </si>
  <si>
    <t>出力タイプチェック関数</t>
  </si>
  <si>
    <t>出力タイプチェック関数</t>
    <phoneticPr fontId="1" type="noConversion"/>
  </si>
  <si>
    <t>出力ファイル名設定関数</t>
  </si>
  <si>
    <t>出力ファイル名設定関数</t>
    <phoneticPr fontId="1" type="noConversion"/>
  </si>
  <si>
    <t>項目桁数チェック関数</t>
  </si>
  <si>
    <t>項目桁数チェック関数</t>
    <phoneticPr fontId="1" type="noConversion"/>
  </si>
  <si>
    <t>🔽</t>
    <phoneticPr fontId="1" type="noConversion"/>
  </si>
  <si>
    <t>開始
実装</t>
    <phoneticPr fontId="1" type="noConversion"/>
  </si>
  <si>
    <t>完了
実装</t>
    <phoneticPr fontId="1" type="noConversion"/>
  </si>
  <si>
    <t>トリム処理チェック関数</t>
  </si>
  <si>
    <t>トリム処理チェック関数</t>
    <phoneticPr fontId="1" type="noConversion"/>
  </si>
  <si>
    <t>テストデータ履歴一覧作成関数</t>
  </si>
  <si>
    <t>テストデータ履歴一覧作成関数</t>
    <phoneticPr fontId="1" type="noConversion"/>
  </si>
  <si>
    <t>メインロジク作成</t>
  </si>
  <si>
    <t>メインロジク作成</t>
    <phoneticPr fontId="1" type="noConversion"/>
  </si>
  <si>
    <t>正常系</t>
  </si>
  <si>
    <t>正常系</t>
    <phoneticPr fontId="1" type="noConversion"/>
  </si>
  <si>
    <t>異常系</t>
  </si>
  <si>
    <t>異常系</t>
    <phoneticPr fontId="1" type="noConversion"/>
  </si>
  <si>
    <t>正常・異常</t>
    <phoneticPr fontId="1" type="noConversion"/>
  </si>
  <si>
    <t>正常
異常</t>
    <phoneticPr fontId="1" type="noConversion"/>
  </si>
  <si>
    <t>追加機能対応</t>
  </si>
  <si>
    <t>追加機能対応</t>
    <phoneticPr fontId="1" type="noConversion"/>
  </si>
  <si>
    <t>概要</t>
    <phoneticPr fontId="1" type="noConversion"/>
  </si>
  <si>
    <t>設定ファイルに作成されている文字コード情報を読み取りして返却する関数</t>
    <phoneticPr fontId="1" type="noConversion"/>
  </si>
  <si>
    <t>1）</t>
    <phoneticPr fontId="1" type="noConversion"/>
  </si>
  <si>
    <t>2）</t>
    <phoneticPr fontId="1" type="noConversion"/>
  </si>
  <si>
    <t>→</t>
    <phoneticPr fontId="1" type="noConversion"/>
  </si>
  <si>
    <t>設定ファイル記載内容</t>
    <phoneticPr fontId="1" type="noConversion"/>
  </si>
  <si>
    <t>UTF-8</t>
    <phoneticPr fontId="1" type="noConversion"/>
  </si>
  <si>
    <t>変数名：</t>
    <phoneticPr fontId="1" type="noConversion"/>
  </si>
  <si>
    <t>設定値：</t>
    <phoneticPr fontId="1" type="noConversion"/>
  </si>
  <si>
    <t>EUC</t>
    <phoneticPr fontId="1" type="noConversion"/>
  </si>
  <si>
    <t>1.</t>
    <phoneticPr fontId="1" type="noConversion"/>
  </si>
  <si>
    <t>2.</t>
  </si>
  <si>
    <t>3.</t>
  </si>
  <si>
    <t>4.</t>
  </si>
  <si>
    <t>5.</t>
  </si>
  <si>
    <t>JIS</t>
    <phoneticPr fontId="1" type="noConversion"/>
  </si>
  <si>
    <t>SJIS</t>
    <phoneticPr fontId="1" type="noConversion"/>
  </si>
  <si>
    <t>UTF-8(BOM)</t>
    <phoneticPr fontId="1" type="noConversion"/>
  </si>
  <si>
    <t>返却値</t>
    <phoneticPr fontId="1" type="noConversion"/>
  </si>
  <si>
    <t>3）</t>
    <phoneticPr fontId="1" type="noConversion"/>
  </si>
  <si>
    <t>設定ファイル名：</t>
    <phoneticPr fontId="1" type="noConversion"/>
  </si>
  <si>
    <t>conf_CreatTestData.txt</t>
    <phoneticPr fontId="1" type="noConversion"/>
  </si>
  <si>
    <t>文字コード：</t>
    <phoneticPr fontId="1" type="noConversion"/>
  </si>
  <si>
    <t>改行コード：</t>
    <phoneticPr fontId="1" type="noConversion"/>
  </si>
  <si>
    <t>LF</t>
    <phoneticPr fontId="1" type="noConversion"/>
  </si>
  <si>
    <t>4）</t>
    <phoneticPr fontId="1" type="noConversion"/>
  </si>
  <si>
    <t>関数名</t>
    <phoneticPr fontId="1" type="noConversion"/>
  </si>
  <si>
    <t>check_data_encoding</t>
    <phoneticPr fontId="1" type="noConversion"/>
  </si>
  <si>
    <t>パラメータ</t>
    <phoneticPr fontId="1" type="noConversion"/>
  </si>
  <si>
    <t>5)</t>
    <phoneticPr fontId="1" type="noConversion"/>
  </si>
  <si>
    <t>＄1：</t>
    <phoneticPr fontId="1" type="noConversion"/>
  </si>
  <si>
    <t>設定ファイル</t>
    <phoneticPr fontId="1" type="noConversion"/>
  </si>
  <si>
    <t>data_encoding</t>
    <phoneticPr fontId="1" type="noConversion"/>
  </si>
  <si>
    <t>encoding</t>
    <phoneticPr fontId="1" type="noConversion"/>
  </si>
  <si>
    <t>newLine</t>
    <phoneticPr fontId="1" type="noConversion"/>
  </si>
  <si>
    <t>check_data_newLine</t>
    <phoneticPr fontId="1" type="noConversion"/>
  </si>
  <si>
    <t>data_newLine</t>
    <phoneticPr fontId="1" type="noConversion"/>
  </si>
  <si>
    <t>CRLF</t>
    <phoneticPr fontId="1" type="noConversion"/>
  </si>
  <si>
    <t>CR</t>
    <phoneticPr fontId="1" type="noConversion"/>
  </si>
  <si>
    <t>設定ファイルに作成されている改行コード情報を読み取りして返却する関数</t>
    <phoneticPr fontId="1" type="noConversion"/>
  </si>
  <si>
    <t>設定ファイルに作成されている囲み文字情報を読み取りして返却する関数</t>
    <phoneticPr fontId="1" type="noConversion"/>
  </si>
  <si>
    <t>”</t>
    <phoneticPr fontId="1" type="noConversion"/>
  </si>
  <si>
    <t>’</t>
    <phoneticPr fontId="1" type="noConversion"/>
  </si>
  <si>
    <t>check_data_enclosing</t>
    <phoneticPr fontId="1" type="noConversion"/>
  </si>
  <si>
    <t>,</t>
    <phoneticPr fontId="1" type="noConversion"/>
  </si>
  <si>
    <t>\t</t>
    <phoneticPr fontId="1" type="noConversion"/>
  </si>
  <si>
    <t>check_data_delimiting</t>
    <phoneticPr fontId="1" type="noConversion"/>
  </si>
  <si>
    <t>設定ファイルに作成されている区切り文字情報を読み取りして返却する関数</t>
    <phoneticPr fontId="1" type="noConversion"/>
  </si>
  <si>
    <t>設定ファイルに作成されている出力タイプ情報を読み取りして返却する関数</t>
    <phoneticPr fontId="1" type="noConversion"/>
  </si>
  <si>
    <t>outputType</t>
    <phoneticPr fontId="1" type="noConversion"/>
  </si>
  <si>
    <t>.gz</t>
    <phoneticPr fontId="1" type="noConversion"/>
  </si>
  <si>
    <t>.Z</t>
    <phoneticPr fontId="1" type="noConversion"/>
  </si>
  <si>
    <t>sql</t>
    <phoneticPr fontId="1" type="noConversion"/>
  </si>
  <si>
    <t>4.</t>
    <phoneticPr fontId="1" type="noConversion"/>
  </si>
  <si>
    <t>check_data_outputType</t>
  </si>
  <si>
    <t>enclosing</t>
    <phoneticPr fontId="1" type="noConversion"/>
  </si>
  <si>
    <t>data_enclosing</t>
    <phoneticPr fontId="1" type="noConversion"/>
  </si>
  <si>
    <t>delimiting</t>
    <phoneticPr fontId="1" type="noConversion"/>
  </si>
  <si>
    <t>data_delimiting</t>
    <phoneticPr fontId="1" type="noConversion"/>
  </si>
  <si>
    <t>data_outputType</t>
    <phoneticPr fontId="1" type="noConversion"/>
  </si>
  <si>
    <t>trim</t>
    <phoneticPr fontId="1" type="noConversion"/>
  </si>
  <si>
    <t>check_data_trim</t>
    <phoneticPr fontId="1" type="noConversion"/>
  </si>
  <si>
    <t>data_trim</t>
    <phoneticPr fontId="1" type="noConversion"/>
  </si>
  <si>
    <t>front_half_space</t>
    <phoneticPr fontId="1" type="noConversion"/>
  </si>
  <si>
    <t>back_half_space</t>
    <phoneticPr fontId="1" type="noConversion"/>
  </si>
  <si>
    <t>front_full_space</t>
    <phoneticPr fontId="1" type="noConversion"/>
  </si>
  <si>
    <t>back_full_space</t>
    <phoneticPr fontId="1" type="noConversion"/>
  </si>
  <si>
    <t>5.</t>
    <phoneticPr fontId="1" type="noConversion"/>
  </si>
  <si>
    <t>6.</t>
    <phoneticPr fontId="1" type="noConversion"/>
  </si>
  <si>
    <t>fb_half_space</t>
    <phoneticPr fontId="1" type="noConversion"/>
  </si>
  <si>
    <t>fb_full_space</t>
    <phoneticPr fontId="1" type="noConversion"/>
  </si>
  <si>
    <t>7.</t>
    <phoneticPr fontId="1" type="noConversion"/>
  </si>
  <si>
    <t>設定ファイルに作成されているトリム情報を読み取りして返却する関数</t>
    <phoneticPr fontId="1" type="noConversion"/>
  </si>
  <si>
    <t>変数名1：</t>
    <phoneticPr fontId="1" type="noConversion"/>
  </si>
  <si>
    <t>dataType</t>
    <phoneticPr fontId="1" type="noConversion"/>
  </si>
  <si>
    <t>char</t>
    <phoneticPr fontId="1" type="noConversion"/>
  </si>
  <si>
    <t>string</t>
    <phoneticPr fontId="1" type="noConversion"/>
  </si>
  <si>
    <t>byte</t>
    <phoneticPr fontId="1" type="noConversion"/>
  </si>
  <si>
    <t>short</t>
    <phoneticPr fontId="1" type="noConversion"/>
  </si>
  <si>
    <t>int</t>
    <phoneticPr fontId="1" type="noConversion"/>
  </si>
  <si>
    <t>long</t>
    <phoneticPr fontId="1" type="noConversion"/>
  </si>
  <si>
    <t>float</t>
    <phoneticPr fontId="1" type="noConversion"/>
  </si>
  <si>
    <t>8.</t>
  </si>
  <si>
    <t>8.</t>
    <phoneticPr fontId="1" type="noConversion"/>
  </si>
  <si>
    <t>double</t>
    <phoneticPr fontId="1" type="noConversion"/>
  </si>
  <si>
    <t>check_data_dataType</t>
    <phoneticPr fontId="1" type="noConversion"/>
  </si>
  <si>
    <t>設定ファイルに作成されているデータタイプ情報を読み取りして返却する関数</t>
    <phoneticPr fontId="1" type="noConversion"/>
  </si>
  <si>
    <t>9.</t>
  </si>
  <si>
    <t>9.</t>
    <phoneticPr fontId="1" type="noConversion"/>
  </si>
  <si>
    <t>fb_half_space,front_full_space</t>
    <phoneticPr fontId="1" type="noConversion"/>
  </si>
  <si>
    <t>fb_half_space,back_full_space</t>
    <phoneticPr fontId="1" type="noConversion"/>
  </si>
  <si>
    <t>fileName</t>
    <phoneticPr fontId="1" type="noConversion"/>
  </si>
  <si>
    <t>出力ファイル名</t>
    <phoneticPr fontId="1" type="noConversion"/>
  </si>
  <si>
    <t>check_data_fileName</t>
    <phoneticPr fontId="1" type="noConversion"/>
  </si>
  <si>
    <t>data_dataType</t>
    <phoneticPr fontId="1" type="noConversion"/>
  </si>
  <si>
    <t>data_fileName</t>
    <phoneticPr fontId="1" type="noConversion"/>
  </si>
  <si>
    <t>設定ファイルに作成されている出力ファイル名情報を読み取りして返却する関数</t>
    <phoneticPr fontId="1" type="noConversion"/>
  </si>
  <si>
    <t>メイン処理フローを表す</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</si>
</sst>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
    <numFmt numFmtId="177" formatCode="m"/>
  </numFmts>
  <fonts count="5">
    <font>
      <sz val="12"/>
      <color theme="1"/>
      <name val="맑은 고딕"/>
      <family val="2"/>
      <charset val="129"/>
      <scheme val="minor"/>
    </font>
    <font>
      <sz val="8"/>
      <name val="맑은 고딕"/>
      <family val="2"/>
      <charset val="129"/>
      <scheme val="minor"/>
    </font>
    <font>
      <sz val="12"/>
      <color theme="1"/>
      <name val="MS Mincho"/>
      <family val="1"/>
      <charset val="128"/>
    </font>
    <font>
      <sz val="12"/>
      <color theme="1"/>
      <name val="Segoe UI Symbol"/>
      <family val="2"/>
    </font>
    <font>
      <sz val="12"/>
      <name val="MS Mincho"/>
      <family val="1"/>
      <charset val="128"/>
    </font>
  </fonts>
  <fills count="12">
    <fill>
      <patternFill patternType="none"/>
    </fill>
    <fill>
      <patternFill patternType="gray125"/>
    </fill>
    <fill>
      <patternFill patternType="solid">
        <fgColor theme="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5" tint="-0.49998474074526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alignment vertical="center"/>
    </xf>
  </cellStyleXfs>
  <cellXfs count="46">
    <xf numFmtId="0" fontId="0" fillId="0" borderId="0" xfId="0">
      <alignment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8" borderId="1" xfId="0" applyFill="1" applyBorder="1" applyAlignment="1">
      <alignment horizontal="center" vertical="center"/>
    </xf>
    <xf numFmtId="0" fontId="2" fillId="0" borderId="0" xfId="0" applyFont="1">
      <alignment vertical="center"/>
    </xf>
    <xf numFmtId="0" fontId="2" fillId="2" borderId="0" xfId="0" applyFont="1" applyFill="1">
      <alignment vertical="center"/>
    </xf>
    <xf numFmtId="0" fontId="2" fillId="9" borderId="0" xfId="0" applyFont="1" applyFill="1">
      <alignment vertical="center"/>
    </xf>
    <xf numFmtId="0" fontId="2" fillId="9" borderId="1" xfId="0" applyFont="1" applyFill="1" applyBorder="1" applyAlignment="1">
      <alignment horizontal="center" vertical="center"/>
    </xf>
    <xf numFmtId="177" fontId="2" fillId="2" borderId="6" xfId="0" applyNumberFormat="1" applyFont="1" applyFill="1" applyBorder="1" applyAlignment="1">
      <alignment horizontal="center" vertical="center"/>
    </xf>
    <xf numFmtId="177" fontId="2" fillId="2" borderId="2" xfId="0" applyNumberFormat="1" applyFont="1" applyFill="1" applyBorder="1" applyAlignment="1">
      <alignment horizontal="center" vertical="center"/>
    </xf>
    <xf numFmtId="177" fontId="2" fillId="2" borderId="3" xfId="0" applyNumberFormat="1" applyFont="1" applyFill="1" applyBorder="1" applyAlignment="1">
      <alignment horizontal="center" vertical="center"/>
    </xf>
    <xf numFmtId="177" fontId="2" fillId="2" borderId="0" xfId="0" applyNumberFormat="1" applyFont="1" applyFill="1">
      <alignment vertical="center"/>
    </xf>
    <xf numFmtId="176" fontId="2" fillId="2" borderId="7" xfId="0" applyNumberFormat="1" applyFont="1" applyFill="1" applyBorder="1" applyAlignment="1">
      <alignment horizontal="center" vertical="center"/>
    </xf>
    <xf numFmtId="176" fontId="2" fillId="2" borderId="4" xfId="0" applyNumberFormat="1" applyFont="1" applyFill="1" applyBorder="1" applyAlignment="1">
      <alignment horizontal="center" vertical="center"/>
    </xf>
    <xf numFmtId="176" fontId="2" fillId="2" borderId="5" xfId="0" applyNumberFormat="1" applyFont="1" applyFill="1" applyBorder="1" applyAlignment="1">
      <alignment horizontal="center" vertical="center"/>
    </xf>
    <xf numFmtId="176" fontId="2" fillId="2" borderId="0" xfId="0" applyNumberFormat="1" applyFont="1" applyFill="1">
      <alignment vertical="center"/>
    </xf>
    <xf numFmtId="0" fontId="0" fillId="11" borderId="1" xfId="0" applyFill="1" applyBorder="1" applyAlignment="1">
      <alignment horizontal="center" vertical="center"/>
    </xf>
    <xf numFmtId="0" fontId="4" fillId="2" borderId="0" xfId="0" applyFont="1" applyFill="1">
      <alignment vertical="center"/>
    </xf>
    <xf numFmtId="0" fontId="4" fillId="2" borderId="0" xfId="0" quotePrefix="1" applyFont="1" applyFill="1">
      <alignment vertical="center"/>
    </xf>
    <xf numFmtId="20" fontId="4" fillId="2" borderId="0" xfId="0" quotePrefix="1" applyNumberFormat="1" applyFont="1" applyFill="1">
      <alignment vertical="center"/>
    </xf>
    <xf numFmtId="0" fontId="2" fillId="2" borderId="8"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9" xfId="0" applyFont="1" applyFill="1" applyBorder="1" applyAlignment="1">
      <alignment horizontal="center" vertical="center"/>
    </xf>
    <xf numFmtId="58"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2" fillId="10" borderId="8" xfId="0" applyFont="1" applyFill="1" applyBorder="1" applyAlignment="1">
      <alignment horizontal="center" vertical="center"/>
    </xf>
    <xf numFmtId="0" fontId="2" fillId="10" borderId="9" xfId="0" applyFont="1" applyFill="1" applyBorder="1" applyAlignment="1">
      <alignment horizontal="center" vertical="center"/>
    </xf>
    <xf numFmtId="0" fontId="2" fillId="10" borderId="10" xfId="0" applyFont="1" applyFill="1" applyBorder="1" applyAlignment="1">
      <alignment horizontal="center" vertical="center"/>
    </xf>
    <xf numFmtId="9" fontId="2" fillId="10" borderId="8" xfId="0" applyNumberFormat="1" applyFont="1" applyFill="1" applyBorder="1" applyAlignment="1">
      <alignment horizontal="center" vertical="center"/>
    </xf>
    <xf numFmtId="9" fontId="2" fillId="10" borderId="10" xfId="0" applyNumberFormat="1" applyFont="1" applyFill="1" applyBorder="1" applyAlignment="1">
      <alignment horizontal="center" vertical="center"/>
    </xf>
    <xf numFmtId="9" fontId="2" fillId="2" borderId="8" xfId="0" applyNumberFormat="1" applyFont="1" applyFill="1" applyBorder="1" applyAlignment="1">
      <alignment horizontal="center" vertical="center"/>
    </xf>
    <xf numFmtId="9" fontId="2" fillId="2" borderId="10" xfId="0" applyNumberFormat="1" applyFont="1" applyFill="1" applyBorder="1" applyAlignment="1">
      <alignment horizontal="center" vertical="center"/>
    </xf>
    <xf numFmtId="58" fontId="2" fillId="2" borderId="8" xfId="0" applyNumberFormat="1" applyFont="1" applyFill="1" applyBorder="1" applyAlignment="1">
      <alignment horizontal="center" vertical="center"/>
    </xf>
    <xf numFmtId="58" fontId="2" fillId="2" borderId="10" xfId="0" applyNumberFormat="1"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1" xfId="0" applyFont="1" applyFill="1" applyBorder="1" applyAlignment="1">
      <alignment horizontal="center" vertical="center"/>
    </xf>
    <xf numFmtId="0" fontId="3" fillId="2" borderId="11" xfId="0" applyFont="1" applyFill="1" applyBorder="1" applyAlignment="1">
      <alignment horizontal="center" vertical="center"/>
    </xf>
    <xf numFmtId="0" fontId="2" fillId="2" borderId="11" xfId="0" applyFont="1" applyFill="1" applyBorder="1" applyAlignment="1">
      <alignment horizontal="center" vertical="center"/>
    </xf>
    <xf numFmtId="0" fontId="2" fillId="7" borderId="1" xfId="0" applyFont="1" applyFill="1" applyBorder="1" applyAlignment="1">
      <alignment horizontal="center" vertical="center"/>
    </xf>
    <xf numFmtId="0" fontId="2" fillId="8"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wrapText="1"/>
    </xf>
    <xf numFmtId="0" fontId="2" fillId="6" borderId="1" xfId="0" applyFont="1" applyFill="1" applyBorder="1" applyAlignment="1">
      <alignment horizontal="center" vertical="center" wrapText="1"/>
    </xf>
  </cellXfs>
  <cellStyles count="1">
    <cellStyle name="표준" xfId="0" builtinId="0"/>
  </cellStyles>
  <dxfs count="4">
    <dxf>
      <fill>
        <patternFill>
          <bgColor theme="7" tint="0.59996337778862885"/>
        </patternFill>
      </fill>
    </dxf>
    <dxf>
      <border>
        <left style="thin">
          <color rgb="FFFF0000"/>
        </left>
        <right style="thin">
          <color rgb="FFFF0000"/>
        </right>
        <vertical/>
        <horizontal/>
      </border>
    </dxf>
    <dxf>
      <fill>
        <patternFill>
          <bgColor theme="0" tint="-0.499984740745262"/>
        </patternFill>
      </fill>
    </dxf>
    <dxf>
      <font>
        <strike val="0"/>
        <u val="none"/>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CA62-706F-E44C-AE9E-BF2241BA7E7C}">
  <sheetPr>
    <pageSetUpPr autoPageBreaks="0"/>
  </sheetPr>
  <dimension ref="A1:GJ47"/>
  <sheetViews>
    <sheetView tabSelected="1" zoomScaleNormal="100" workbookViewId="0">
      <pane xSplit="31" ySplit="3" topLeftCell="AF4" activePane="bottomRight" state="frozen"/>
      <selection pane="topRight" activeCell="AF1" sqref="AF1"/>
      <selection pane="bottomLeft" activeCell="A4" sqref="A4"/>
      <selection pane="bottomRight"/>
    </sheetView>
  </sheetViews>
  <sheetFormatPr baseColWidth="10" defaultColWidth="2.7109375" defaultRowHeight="15"/>
  <cols>
    <col min="1" max="31" width="2.7109375" style="5"/>
    <col min="32" max="32" width="2.7109375" style="6"/>
    <col min="33" max="16384" width="2.7109375" style="5"/>
  </cols>
  <sheetData>
    <row r="1" spans="1:192" ht="18">
      <c r="W1" s="36" t="s">
        <v>31</v>
      </c>
      <c r="X1" s="37"/>
      <c r="Y1" s="37"/>
      <c r="Z1" s="36" t="s">
        <v>31</v>
      </c>
      <c r="AA1" s="37"/>
    </row>
    <row r="2" spans="1:192">
      <c r="A2" s="42" t="s">
        <v>0</v>
      </c>
      <c r="B2" s="42"/>
      <c r="C2" s="34" t="s">
        <v>45</v>
      </c>
      <c r="D2" s="35"/>
      <c r="E2" s="43" t="s">
        <v>6</v>
      </c>
      <c r="F2" s="43"/>
      <c r="G2" s="43"/>
      <c r="H2" s="43"/>
      <c r="I2" s="43"/>
      <c r="J2" s="43"/>
      <c r="K2" s="43"/>
      <c r="L2" s="43"/>
      <c r="M2" s="43"/>
      <c r="N2" s="43"/>
      <c r="O2" s="44" t="s">
        <v>8</v>
      </c>
      <c r="P2" s="44"/>
      <c r="Q2" s="44" t="s">
        <v>9</v>
      </c>
      <c r="R2" s="41"/>
      <c r="S2" s="45" t="s">
        <v>32</v>
      </c>
      <c r="T2" s="40"/>
      <c r="U2" s="45" t="s">
        <v>33</v>
      </c>
      <c r="V2" s="40"/>
      <c r="W2" s="38" t="s">
        <v>7</v>
      </c>
      <c r="X2" s="38"/>
      <c r="Y2" s="38"/>
      <c r="Z2" s="38" t="s">
        <v>12</v>
      </c>
      <c r="AA2" s="38"/>
      <c r="AB2" s="38"/>
      <c r="AC2" s="38"/>
      <c r="AD2" s="39" t="s">
        <v>3</v>
      </c>
      <c r="AE2" s="39"/>
      <c r="AF2" s="7" t="s">
        <v>13</v>
      </c>
      <c r="AG2" s="8">
        <f t="shared" ref="AG2:BK2" si="0">IF(ISNUMBER(AF2),AF2+1,DATE(2024,4,1))</f>
        <v>45383</v>
      </c>
      <c r="AH2" s="9">
        <f t="shared" si="0"/>
        <v>45384</v>
      </c>
      <c r="AI2" s="9">
        <f t="shared" si="0"/>
        <v>45385</v>
      </c>
      <c r="AJ2" s="9">
        <f t="shared" si="0"/>
        <v>45386</v>
      </c>
      <c r="AK2" s="9">
        <f t="shared" si="0"/>
        <v>45387</v>
      </c>
      <c r="AL2" s="9">
        <f t="shared" si="0"/>
        <v>45388</v>
      </c>
      <c r="AM2" s="9">
        <f t="shared" si="0"/>
        <v>45389</v>
      </c>
      <c r="AN2" s="9">
        <f t="shared" si="0"/>
        <v>45390</v>
      </c>
      <c r="AO2" s="9">
        <f t="shared" si="0"/>
        <v>45391</v>
      </c>
      <c r="AP2" s="9">
        <f t="shared" si="0"/>
        <v>45392</v>
      </c>
      <c r="AQ2" s="9">
        <f t="shared" si="0"/>
        <v>45393</v>
      </c>
      <c r="AR2" s="9">
        <f t="shared" si="0"/>
        <v>45394</v>
      </c>
      <c r="AS2" s="9">
        <f t="shared" si="0"/>
        <v>45395</v>
      </c>
      <c r="AT2" s="9">
        <f t="shared" si="0"/>
        <v>45396</v>
      </c>
      <c r="AU2" s="9">
        <f t="shared" si="0"/>
        <v>45397</v>
      </c>
      <c r="AV2" s="9">
        <f t="shared" si="0"/>
        <v>45398</v>
      </c>
      <c r="AW2" s="9">
        <f t="shared" si="0"/>
        <v>45399</v>
      </c>
      <c r="AX2" s="9">
        <f t="shared" si="0"/>
        <v>45400</v>
      </c>
      <c r="AY2" s="9">
        <f t="shared" si="0"/>
        <v>45401</v>
      </c>
      <c r="AZ2" s="9">
        <f t="shared" si="0"/>
        <v>45402</v>
      </c>
      <c r="BA2" s="9">
        <f t="shared" si="0"/>
        <v>45403</v>
      </c>
      <c r="BB2" s="9">
        <f t="shared" si="0"/>
        <v>45404</v>
      </c>
      <c r="BC2" s="9">
        <f t="shared" si="0"/>
        <v>45405</v>
      </c>
      <c r="BD2" s="9">
        <f t="shared" si="0"/>
        <v>45406</v>
      </c>
      <c r="BE2" s="9">
        <f t="shared" si="0"/>
        <v>45407</v>
      </c>
      <c r="BF2" s="9">
        <f t="shared" si="0"/>
        <v>45408</v>
      </c>
      <c r="BG2" s="9">
        <f t="shared" si="0"/>
        <v>45409</v>
      </c>
      <c r="BH2" s="9">
        <f t="shared" si="0"/>
        <v>45410</v>
      </c>
      <c r="BI2" s="9">
        <f t="shared" si="0"/>
        <v>45411</v>
      </c>
      <c r="BJ2" s="9">
        <f t="shared" si="0"/>
        <v>45412</v>
      </c>
      <c r="BK2" s="9">
        <f t="shared" si="0"/>
        <v>45413</v>
      </c>
      <c r="BL2" s="9">
        <f t="shared" ref="BL2:DW2" si="1">IF(ISNUMBER(BK2),BK2+1,DATE(2024,4,1))</f>
        <v>45414</v>
      </c>
      <c r="BM2" s="9">
        <f t="shared" si="1"/>
        <v>45415</v>
      </c>
      <c r="BN2" s="9">
        <f t="shared" si="1"/>
        <v>45416</v>
      </c>
      <c r="BO2" s="9">
        <f t="shared" si="1"/>
        <v>45417</v>
      </c>
      <c r="BP2" s="9">
        <f t="shared" si="1"/>
        <v>45418</v>
      </c>
      <c r="BQ2" s="9">
        <f t="shared" si="1"/>
        <v>45419</v>
      </c>
      <c r="BR2" s="9">
        <f t="shared" si="1"/>
        <v>45420</v>
      </c>
      <c r="BS2" s="9">
        <f t="shared" si="1"/>
        <v>45421</v>
      </c>
      <c r="BT2" s="9">
        <f t="shared" si="1"/>
        <v>45422</v>
      </c>
      <c r="BU2" s="9">
        <f t="shared" si="1"/>
        <v>45423</v>
      </c>
      <c r="BV2" s="9">
        <f t="shared" si="1"/>
        <v>45424</v>
      </c>
      <c r="BW2" s="9">
        <f t="shared" si="1"/>
        <v>45425</v>
      </c>
      <c r="BX2" s="9">
        <f t="shared" si="1"/>
        <v>45426</v>
      </c>
      <c r="BY2" s="9">
        <f t="shared" si="1"/>
        <v>45427</v>
      </c>
      <c r="BZ2" s="9">
        <f t="shared" si="1"/>
        <v>45428</v>
      </c>
      <c r="CA2" s="9">
        <f t="shared" si="1"/>
        <v>45429</v>
      </c>
      <c r="CB2" s="9">
        <f t="shared" si="1"/>
        <v>45430</v>
      </c>
      <c r="CC2" s="9">
        <f t="shared" si="1"/>
        <v>45431</v>
      </c>
      <c r="CD2" s="9">
        <f t="shared" si="1"/>
        <v>45432</v>
      </c>
      <c r="CE2" s="9">
        <f t="shared" si="1"/>
        <v>45433</v>
      </c>
      <c r="CF2" s="9">
        <f t="shared" si="1"/>
        <v>45434</v>
      </c>
      <c r="CG2" s="9">
        <f t="shared" si="1"/>
        <v>45435</v>
      </c>
      <c r="CH2" s="9">
        <f t="shared" si="1"/>
        <v>45436</v>
      </c>
      <c r="CI2" s="9">
        <f t="shared" si="1"/>
        <v>45437</v>
      </c>
      <c r="CJ2" s="9">
        <f t="shared" si="1"/>
        <v>45438</v>
      </c>
      <c r="CK2" s="9">
        <f t="shared" si="1"/>
        <v>45439</v>
      </c>
      <c r="CL2" s="9">
        <f t="shared" si="1"/>
        <v>45440</v>
      </c>
      <c r="CM2" s="9">
        <f t="shared" si="1"/>
        <v>45441</v>
      </c>
      <c r="CN2" s="9">
        <f t="shared" si="1"/>
        <v>45442</v>
      </c>
      <c r="CO2" s="9">
        <f t="shared" si="1"/>
        <v>45443</v>
      </c>
      <c r="CP2" s="9">
        <f t="shared" si="1"/>
        <v>45444</v>
      </c>
      <c r="CQ2" s="9">
        <f t="shared" si="1"/>
        <v>45445</v>
      </c>
      <c r="CR2" s="9">
        <f t="shared" si="1"/>
        <v>45446</v>
      </c>
      <c r="CS2" s="9">
        <f t="shared" si="1"/>
        <v>45447</v>
      </c>
      <c r="CT2" s="9">
        <f t="shared" si="1"/>
        <v>45448</v>
      </c>
      <c r="CU2" s="9">
        <f t="shared" si="1"/>
        <v>45449</v>
      </c>
      <c r="CV2" s="9">
        <f t="shared" si="1"/>
        <v>45450</v>
      </c>
      <c r="CW2" s="9">
        <f t="shared" si="1"/>
        <v>45451</v>
      </c>
      <c r="CX2" s="9">
        <f t="shared" si="1"/>
        <v>45452</v>
      </c>
      <c r="CY2" s="9">
        <f t="shared" si="1"/>
        <v>45453</v>
      </c>
      <c r="CZ2" s="9">
        <f t="shared" si="1"/>
        <v>45454</v>
      </c>
      <c r="DA2" s="9">
        <f t="shared" si="1"/>
        <v>45455</v>
      </c>
      <c r="DB2" s="9">
        <f t="shared" si="1"/>
        <v>45456</v>
      </c>
      <c r="DC2" s="9">
        <f t="shared" si="1"/>
        <v>45457</v>
      </c>
      <c r="DD2" s="9">
        <f t="shared" si="1"/>
        <v>45458</v>
      </c>
      <c r="DE2" s="9">
        <f t="shared" si="1"/>
        <v>45459</v>
      </c>
      <c r="DF2" s="9">
        <f t="shared" si="1"/>
        <v>45460</v>
      </c>
      <c r="DG2" s="9">
        <f t="shared" si="1"/>
        <v>45461</v>
      </c>
      <c r="DH2" s="9">
        <f t="shared" si="1"/>
        <v>45462</v>
      </c>
      <c r="DI2" s="9">
        <f t="shared" si="1"/>
        <v>45463</v>
      </c>
      <c r="DJ2" s="9">
        <f t="shared" si="1"/>
        <v>45464</v>
      </c>
      <c r="DK2" s="9">
        <f t="shared" si="1"/>
        <v>45465</v>
      </c>
      <c r="DL2" s="9">
        <f t="shared" si="1"/>
        <v>45466</v>
      </c>
      <c r="DM2" s="9">
        <f t="shared" si="1"/>
        <v>45467</v>
      </c>
      <c r="DN2" s="9">
        <f t="shared" si="1"/>
        <v>45468</v>
      </c>
      <c r="DO2" s="9">
        <f t="shared" si="1"/>
        <v>45469</v>
      </c>
      <c r="DP2" s="9">
        <f t="shared" si="1"/>
        <v>45470</v>
      </c>
      <c r="DQ2" s="9">
        <f t="shared" si="1"/>
        <v>45471</v>
      </c>
      <c r="DR2" s="9">
        <f t="shared" si="1"/>
        <v>45472</v>
      </c>
      <c r="DS2" s="9">
        <f t="shared" si="1"/>
        <v>45473</v>
      </c>
      <c r="DT2" s="9">
        <f t="shared" si="1"/>
        <v>45474</v>
      </c>
      <c r="DU2" s="9">
        <f t="shared" si="1"/>
        <v>45475</v>
      </c>
      <c r="DV2" s="9">
        <f t="shared" si="1"/>
        <v>45476</v>
      </c>
      <c r="DW2" s="9">
        <f t="shared" si="1"/>
        <v>45477</v>
      </c>
      <c r="DX2" s="9">
        <f t="shared" ref="DX2:GC2" si="2">IF(ISNUMBER(DW2),DW2+1,DATE(2024,4,1))</f>
        <v>45478</v>
      </c>
      <c r="DY2" s="9">
        <f t="shared" si="2"/>
        <v>45479</v>
      </c>
      <c r="DZ2" s="9">
        <f t="shared" si="2"/>
        <v>45480</v>
      </c>
      <c r="EA2" s="9">
        <f t="shared" si="2"/>
        <v>45481</v>
      </c>
      <c r="EB2" s="9">
        <f t="shared" si="2"/>
        <v>45482</v>
      </c>
      <c r="EC2" s="9">
        <f t="shared" si="2"/>
        <v>45483</v>
      </c>
      <c r="ED2" s="9">
        <f t="shared" si="2"/>
        <v>45484</v>
      </c>
      <c r="EE2" s="9">
        <f t="shared" si="2"/>
        <v>45485</v>
      </c>
      <c r="EF2" s="9">
        <f t="shared" si="2"/>
        <v>45486</v>
      </c>
      <c r="EG2" s="9">
        <f t="shared" si="2"/>
        <v>45487</v>
      </c>
      <c r="EH2" s="9">
        <f t="shared" si="2"/>
        <v>45488</v>
      </c>
      <c r="EI2" s="9">
        <f t="shared" si="2"/>
        <v>45489</v>
      </c>
      <c r="EJ2" s="9">
        <f t="shared" si="2"/>
        <v>45490</v>
      </c>
      <c r="EK2" s="9">
        <f t="shared" si="2"/>
        <v>45491</v>
      </c>
      <c r="EL2" s="9">
        <f t="shared" si="2"/>
        <v>45492</v>
      </c>
      <c r="EM2" s="9">
        <f t="shared" si="2"/>
        <v>45493</v>
      </c>
      <c r="EN2" s="9">
        <f t="shared" si="2"/>
        <v>45494</v>
      </c>
      <c r="EO2" s="9">
        <f t="shared" si="2"/>
        <v>45495</v>
      </c>
      <c r="EP2" s="9">
        <f t="shared" si="2"/>
        <v>45496</v>
      </c>
      <c r="EQ2" s="9">
        <f t="shared" si="2"/>
        <v>45497</v>
      </c>
      <c r="ER2" s="9">
        <f t="shared" si="2"/>
        <v>45498</v>
      </c>
      <c r="ES2" s="9">
        <f t="shared" si="2"/>
        <v>45499</v>
      </c>
      <c r="ET2" s="9">
        <f t="shared" si="2"/>
        <v>45500</v>
      </c>
      <c r="EU2" s="9">
        <f t="shared" si="2"/>
        <v>45501</v>
      </c>
      <c r="EV2" s="9">
        <f t="shared" si="2"/>
        <v>45502</v>
      </c>
      <c r="EW2" s="9">
        <f t="shared" si="2"/>
        <v>45503</v>
      </c>
      <c r="EX2" s="9">
        <f t="shared" si="2"/>
        <v>45504</v>
      </c>
      <c r="EY2" s="9">
        <f t="shared" si="2"/>
        <v>45505</v>
      </c>
      <c r="EZ2" s="9">
        <f t="shared" si="2"/>
        <v>45506</v>
      </c>
      <c r="FA2" s="9">
        <f t="shared" si="2"/>
        <v>45507</v>
      </c>
      <c r="FB2" s="9">
        <f t="shared" si="2"/>
        <v>45508</v>
      </c>
      <c r="FC2" s="9">
        <f t="shared" si="2"/>
        <v>45509</v>
      </c>
      <c r="FD2" s="9">
        <f t="shared" si="2"/>
        <v>45510</v>
      </c>
      <c r="FE2" s="9">
        <f t="shared" si="2"/>
        <v>45511</v>
      </c>
      <c r="FF2" s="9">
        <f t="shared" si="2"/>
        <v>45512</v>
      </c>
      <c r="FG2" s="9">
        <f t="shared" si="2"/>
        <v>45513</v>
      </c>
      <c r="FH2" s="9">
        <f t="shared" si="2"/>
        <v>45514</v>
      </c>
      <c r="FI2" s="9">
        <f t="shared" si="2"/>
        <v>45515</v>
      </c>
      <c r="FJ2" s="9">
        <f t="shared" si="2"/>
        <v>45516</v>
      </c>
      <c r="FK2" s="9">
        <f t="shared" si="2"/>
        <v>45517</v>
      </c>
      <c r="FL2" s="9">
        <f t="shared" si="2"/>
        <v>45518</v>
      </c>
      <c r="FM2" s="9">
        <f t="shared" si="2"/>
        <v>45519</v>
      </c>
      <c r="FN2" s="9">
        <f t="shared" si="2"/>
        <v>45520</v>
      </c>
      <c r="FO2" s="9">
        <f t="shared" si="2"/>
        <v>45521</v>
      </c>
      <c r="FP2" s="9">
        <f t="shared" si="2"/>
        <v>45522</v>
      </c>
      <c r="FQ2" s="9">
        <f t="shared" si="2"/>
        <v>45523</v>
      </c>
      <c r="FR2" s="9">
        <f t="shared" si="2"/>
        <v>45524</v>
      </c>
      <c r="FS2" s="9">
        <f t="shared" si="2"/>
        <v>45525</v>
      </c>
      <c r="FT2" s="9">
        <f t="shared" si="2"/>
        <v>45526</v>
      </c>
      <c r="FU2" s="9">
        <f t="shared" si="2"/>
        <v>45527</v>
      </c>
      <c r="FV2" s="9">
        <f t="shared" si="2"/>
        <v>45528</v>
      </c>
      <c r="FW2" s="9">
        <f t="shared" si="2"/>
        <v>45529</v>
      </c>
      <c r="FX2" s="9">
        <f t="shared" si="2"/>
        <v>45530</v>
      </c>
      <c r="FY2" s="9">
        <f t="shared" si="2"/>
        <v>45531</v>
      </c>
      <c r="FZ2" s="9">
        <f t="shared" si="2"/>
        <v>45532</v>
      </c>
      <c r="GA2" s="9">
        <f t="shared" si="2"/>
        <v>45533</v>
      </c>
      <c r="GB2" s="9">
        <f t="shared" si="2"/>
        <v>45534</v>
      </c>
      <c r="GC2" s="10">
        <f t="shared" si="2"/>
        <v>45535</v>
      </c>
      <c r="GD2" s="11"/>
      <c r="GE2" s="11"/>
      <c r="GF2" s="11"/>
      <c r="GG2" s="11"/>
      <c r="GH2" s="11"/>
      <c r="GI2" s="11"/>
      <c r="GJ2" s="11"/>
    </row>
    <row r="3" spans="1:192">
      <c r="A3" s="42"/>
      <c r="B3" s="42"/>
      <c r="C3" s="35"/>
      <c r="D3" s="35"/>
      <c r="E3" s="43"/>
      <c r="F3" s="43"/>
      <c r="G3" s="43"/>
      <c r="H3" s="43"/>
      <c r="I3" s="43"/>
      <c r="J3" s="43"/>
      <c r="K3" s="43"/>
      <c r="L3" s="43"/>
      <c r="M3" s="43"/>
      <c r="N3" s="43"/>
      <c r="O3" s="44"/>
      <c r="P3" s="44"/>
      <c r="Q3" s="41"/>
      <c r="R3" s="41"/>
      <c r="S3" s="40"/>
      <c r="T3" s="40"/>
      <c r="U3" s="40"/>
      <c r="V3" s="40"/>
      <c r="W3" s="38"/>
      <c r="X3" s="38"/>
      <c r="Y3" s="38"/>
      <c r="Z3" s="41" t="s">
        <v>10</v>
      </c>
      <c r="AA3" s="41"/>
      <c r="AB3" s="40" t="s">
        <v>11</v>
      </c>
      <c r="AC3" s="40"/>
      <c r="AD3" s="39"/>
      <c r="AE3" s="39"/>
      <c r="AF3" s="7" t="s">
        <v>14</v>
      </c>
      <c r="AG3" s="12">
        <v>45383</v>
      </c>
      <c r="AH3" s="13">
        <v>45384</v>
      </c>
      <c r="AI3" s="13">
        <v>45385</v>
      </c>
      <c r="AJ3" s="13">
        <v>45386</v>
      </c>
      <c r="AK3" s="13">
        <v>45387</v>
      </c>
      <c r="AL3" s="13">
        <v>45388</v>
      </c>
      <c r="AM3" s="13">
        <v>45389</v>
      </c>
      <c r="AN3" s="13">
        <v>45390</v>
      </c>
      <c r="AO3" s="13">
        <v>45391</v>
      </c>
      <c r="AP3" s="13">
        <v>45392</v>
      </c>
      <c r="AQ3" s="13">
        <v>45393</v>
      </c>
      <c r="AR3" s="13">
        <v>45394</v>
      </c>
      <c r="AS3" s="13">
        <v>45395</v>
      </c>
      <c r="AT3" s="13">
        <v>45396</v>
      </c>
      <c r="AU3" s="13">
        <v>45397</v>
      </c>
      <c r="AV3" s="13">
        <v>45398</v>
      </c>
      <c r="AW3" s="13">
        <v>45399</v>
      </c>
      <c r="AX3" s="13">
        <v>45400</v>
      </c>
      <c r="AY3" s="13">
        <v>45401</v>
      </c>
      <c r="AZ3" s="13">
        <v>45402</v>
      </c>
      <c r="BA3" s="13">
        <v>45403</v>
      </c>
      <c r="BB3" s="13">
        <v>45404</v>
      </c>
      <c r="BC3" s="13">
        <v>45405</v>
      </c>
      <c r="BD3" s="13">
        <v>45406</v>
      </c>
      <c r="BE3" s="13">
        <v>45407</v>
      </c>
      <c r="BF3" s="13">
        <v>45408</v>
      </c>
      <c r="BG3" s="13">
        <v>45409</v>
      </c>
      <c r="BH3" s="13">
        <v>45410</v>
      </c>
      <c r="BI3" s="13">
        <v>45411</v>
      </c>
      <c r="BJ3" s="13">
        <v>45412</v>
      </c>
      <c r="BK3" s="13">
        <v>45413</v>
      </c>
      <c r="BL3" s="13">
        <v>45414</v>
      </c>
      <c r="BM3" s="13">
        <v>45415</v>
      </c>
      <c r="BN3" s="13">
        <v>45416</v>
      </c>
      <c r="BO3" s="13">
        <v>45417</v>
      </c>
      <c r="BP3" s="13">
        <v>45418</v>
      </c>
      <c r="BQ3" s="13">
        <v>45419</v>
      </c>
      <c r="BR3" s="13">
        <v>45420</v>
      </c>
      <c r="BS3" s="13">
        <v>45421</v>
      </c>
      <c r="BT3" s="13">
        <v>45422</v>
      </c>
      <c r="BU3" s="13">
        <v>45423</v>
      </c>
      <c r="BV3" s="13">
        <v>45424</v>
      </c>
      <c r="BW3" s="13">
        <v>45425</v>
      </c>
      <c r="BX3" s="13">
        <v>45426</v>
      </c>
      <c r="BY3" s="13">
        <v>45427</v>
      </c>
      <c r="BZ3" s="13">
        <v>45428</v>
      </c>
      <c r="CA3" s="13">
        <v>45429</v>
      </c>
      <c r="CB3" s="13">
        <v>45430</v>
      </c>
      <c r="CC3" s="13">
        <v>45431</v>
      </c>
      <c r="CD3" s="13">
        <v>45432</v>
      </c>
      <c r="CE3" s="13">
        <v>45433</v>
      </c>
      <c r="CF3" s="13">
        <v>45434</v>
      </c>
      <c r="CG3" s="13">
        <v>45435</v>
      </c>
      <c r="CH3" s="13">
        <v>45436</v>
      </c>
      <c r="CI3" s="13">
        <v>45437</v>
      </c>
      <c r="CJ3" s="13">
        <v>45438</v>
      </c>
      <c r="CK3" s="13">
        <v>45439</v>
      </c>
      <c r="CL3" s="13">
        <v>45440</v>
      </c>
      <c r="CM3" s="13">
        <v>45441</v>
      </c>
      <c r="CN3" s="13">
        <v>45442</v>
      </c>
      <c r="CO3" s="13">
        <v>45443</v>
      </c>
      <c r="CP3" s="13">
        <v>45444</v>
      </c>
      <c r="CQ3" s="13">
        <v>45445</v>
      </c>
      <c r="CR3" s="13">
        <v>45446</v>
      </c>
      <c r="CS3" s="13">
        <v>45447</v>
      </c>
      <c r="CT3" s="13">
        <v>45448</v>
      </c>
      <c r="CU3" s="13">
        <v>45449</v>
      </c>
      <c r="CV3" s="13">
        <v>45450</v>
      </c>
      <c r="CW3" s="13">
        <v>45451</v>
      </c>
      <c r="CX3" s="13">
        <v>45452</v>
      </c>
      <c r="CY3" s="13">
        <v>45453</v>
      </c>
      <c r="CZ3" s="13">
        <v>45454</v>
      </c>
      <c r="DA3" s="13">
        <v>45455</v>
      </c>
      <c r="DB3" s="13">
        <v>45456</v>
      </c>
      <c r="DC3" s="13">
        <v>45457</v>
      </c>
      <c r="DD3" s="13">
        <v>45458</v>
      </c>
      <c r="DE3" s="13">
        <v>45459</v>
      </c>
      <c r="DF3" s="13">
        <v>45460</v>
      </c>
      <c r="DG3" s="13">
        <v>45461</v>
      </c>
      <c r="DH3" s="13">
        <v>45462</v>
      </c>
      <c r="DI3" s="13">
        <v>45463</v>
      </c>
      <c r="DJ3" s="13">
        <v>45464</v>
      </c>
      <c r="DK3" s="13">
        <v>45465</v>
      </c>
      <c r="DL3" s="13">
        <v>45466</v>
      </c>
      <c r="DM3" s="13">
        <v>45467</v>
      </c>
      <c r="DN3" s="13">
        <v>45468</v>
      </c>
      <c r="DO3" s="13">
        <v>45469</v>
      </c>
      <c r="DP3" s="13">
        <v>45470</v>
      </c>
      <c r="DQ3" s="13">
        <v>45471</v>
      </c>
      <c r="DR3" s="13">
        <v>45472</v>
      </c>
      <c r="DS3" s="13">
        <v>45473</v>
      </c>
      <c r="DT3" s="13">
        <v>45474</v>
      </c>
      <c r="DU3" s="13">
        <v>45475</v>
      </c>
      <c r="DV3" s="13">
        <v>45476</v>
      </c>
      <c r="DW3" s="13">
        <v>45477</v>
      </c>
      <c r="DX3" s="13">
        <v>45478</v>
      </c>
      <c r="DY3" s="13">
        <v>45479</v>
      </c>
      <c r="DZ3" s="13">
        <v>45480</v>
      </c>
      <c r="EA3" s="13">
        <v>45481</v>
      </c>
      <c r="EB3" s="13">
        <v>45482</v>
      </c>
      <c r="EC3" s="13">
        <v>45483</v>
      </c>
      <c r="ED3" s="13">
        <v>45484</v>
      </c>
      <c r="EE3" s="13">
        <v>45485</v>
      </c>
      <c r="EF3" s="13">
        <v>45486</v>
      </c>
      <c r="EG3" s="13">
        <v>45487</v>
      </c>
      <c r="EH3" s="13">
        <v>45488</v>
      </c>
      <c r="EI3" s="13">
        <v>45489</v>
      </c>
      <c r="EJ3" s="13">
        <v>45490</v>
      </c>
      <c r="EK3" s="13">
        <v>45491</v>
      </c>
      <c r="EL3" s="13">
        <v>45492</v>
      </c>
      <c r="EM3" s="13">
        <v>45493</v>
      </c>
      <c r="EN3" s="13">
        <v>45494</v>
      </c>
      <c r="EO3" s="13">
        <v>45495</v>
      </c>
      <c r="EP3" s="13">
        <v>45496</v>
      </c>
      <c r="EQ3" s="13">
        <v>45497</v>
      </c>
      <c r="ER3" s="13">
        <v>45498</v>
      </c>
      <c r="ES3" s="13">
        <v>45499</v>
      </c>
      <c r="ET3" s="13">
        <v>45500</v>
      </c>
      <c r="EU3" s="13">
        <v>45501</v>
      </c>
      <c r="EV3" s="13">
        <v>45502</v>
      </c>
      <c r="EW3" s="13">
        <v>45503</v>
      </c>
      <c r="EX3" s="13">
        <v>45504</v>
      </c>
      <c r="EY3" s="13">
        <v>45505</v>
      </c>
      <c r="EZ3" s="13">
        <v>45506</v>
      </c>
      <c r="FA3" s="13">
        <v>45507</v>
      </c>
      <c r="FB3" s="13">
        <v>45508</v>
      </c>
      <c r="FC3" s="13">
        <v>45509</v>
      </c>
      <c r="FD3" s="13">
        <v>45510</v>
      </c>
      <c r="FE3" s="13">
        <v>45511</v>
      </c>
      <c r="FF3" s="13">
        <v>45512</v>
      </c>
      <c r="FG3" s="13">
        <v>45513</v>
      </c>
      <c r="FH3" s="13">
        <v>45514</v>
      </c>
      <c r="FI3" s="13">
        <v>45515</v>
      </c>
      <c r="FJ3" s="13">
        <v>45516</v>
      </c>
      <c r="FK3" s="13">
        <v>45517</v>
      </c>
      <c r="FL3" s="13">
        <v>45518</v>
      </c>
      <c r="FM3" s="13">
        <v>45519</v>
      </c>
      <c r="FN3" s="13">
        <v>45520</v>
      </c>
      <c r="FO3" s="13">
        <v>45521</v>
      </c>
      <c r="FP3" s="13">
        <v>45522</v>
      </c>
      <c r="FQ3" s="13">
        <v>45523</v>
      </c>
      <c r="FR3" s="13">
        <v>45524</v>
      </c>
      <c r="FS3" s="13">
        <v>45525</v>
      </c>
      <c r="FT3" s="13">
        <v>45526</v>
      </c>
      <c r="FU3" s="13">
        <v>45527</v>
      </c>
      <c r="FV3" s="13">
        <v>45528</v>
      </c>
      <c r="FW3" s="13">
        <v>45529</v>
      </c>
      <c r="FX3" s="13">
        <v>45530</v>
      </c>
      <c r="FY3" s="13">
        <v>45531</v>
      </c>
      <c r="FZ3" s="13">
        <v>45532</v>
      </c>
      <c r="GA3" s="13">
        <v>45533</v>
      </c>
      <c r="GB3" s="13">
        <v>45534</v>
      </c>
      <c r="GC3" s="14">
        <v>45535</v>
      </c>
      <c r="GD3" s="15"/>
      <c r="GE3" s="15"/>
      <c r="GF3" s="15"/>
      <c r="GG3" s="15"/>
      <c r="GH3" s="15"/>
      <c r="GI3" s="15"/>
      <c r="GJ3" s="15"/>
    </row>
    <row r="4" spans="1:192">
      <c r="A4" s="24" t="s">
        <v>1</v>
      </c>
      <c r="B4" s="24"/>
      <c r="C4" s="24" t="s">
        <v>40</v>
      </c>
      <c r="D4" s="24"/>
      <c r="E4" s="20" t="s">
        <v>17</v>
      </c>
      <c r="F4" s="22"/>
      <c r="G4" s="22"/>
      <c r="H4" s="22"/>
      <c r="I4" s="22"/>
      <c r="J4" s="22"/>
      <c r="K4" s="22"/>
      <c r="L4" s="22"/>
      <c r="M4" s="22"/>
      <c r="N4" s="21"/>
      <c r="O4" s="23">
        <v>45383</v>
      </c>
      <c r="P4" s="23"/>
      <c r="Q4" s="23">
        <v>45386</v>
      </c>
      <c r="R4" s="23"/>
      <c r="S4" s="23">
        <v>45378</v>
      </c>
      <c r="T4" s="23"/>
      <c r="U4" s="23">
        <v>45378</v>
      </c>
      <c r="V4" s="23"/>
      <c r="W4" s="25" t="str">
        <f>IF(AB4=100%,"対応済み",IF(AB4&gt;0,"対応中",IF(Z4="","","開始待ち")))</f>
        <v>対応済み</v>
      </c>
      <c r="X4" s="26"/>
      <c r="Y4" s="27"/>
      <c r="Z4" s="28" t="str">
        <f ca="1">IF(TODAY()&gt;=O4,(TODAY()-O4)/(Q4-O4),"")</f>
        <v/>
      </c>
      <c r="AA4" s="29"/>
      <c r="AB4" s="30">
        <v>1</v>
      </c>
      <c r="AC4" s="31"/>
      <c r="AD4" s="24" t="s">
        <v>4</v>
      </c>
      <c r="AE4" s="24"/>
    </row>
    <row r="5" spans="1:192">
      <c r="A5" s="24" t="s">
        <v>1</v>
      </c>
      <c r="B5" s="24"/>
      <c r="C5" s="24" t="s">
        <v>40</v>
      </c>
      <c r="D5" s="24"/>
      <c r="E5" s="20" t="s">
        <v>19</v>
      </c>
      <c r="F5" s="22"/>
      <c r="G5" s="22"/>
      <c r="H5" s="22"/>
      <c r="I5" s="22"/>
      <c r="J5" s="22"/>
      <c r="K5" s="22"/>
      <c r="L5" s="22"/>
      <c r="M5" s="22"/>
      <c r="N5" s="21"/>
      <c r="O5" s="23">
        <v>45383</v>
      </c>
      <c r="P5" s="23"/>
      <c r="Q5" s="23">
        <v>45386</v>
      </c>
      <c r="R5" s="23"/>
      <c r="S5" s="23">
        <v>45378</v>
      </c>
      <c r="T5" s="23"/>
      <c r="U5" s="23">
        <v>45378</v>
      </c>
      <c r="V5" s="23"/>
      <c r="W5" s="25" t="str">
        <f t="shared" ref="W5:W22" si="3">IF(AB5=100%,"対応済み",IF(AB5&gt;0,"対応中",IF(Z5="","","開始待ち")))</f>
        <v>対応済み</v>
      </c>
      <c r="X5" s="26"/>
      <c r="Y5" s="27"/>
      <c r="Z5" s="28" t="str">
        <f t="shared" ref="Z5:Z22" ca="1" si="4">IF(TODAY()&gt;=O5,(TODAY()-O5)/(Q5-O5),"")</f>
        <v/>
      </c>
      <c r="AA5" s="29"/>
      <c r="AB5" s="30">
        <v>1</v>
      </c>
      <c r="AC5" s="31"/>
      <c r="AD5" s="24" t="s">
        <v>4</v>
      </c>
      <c r="AE5" s="24"/>
    </row>
    <row r="6" spans="1:192">
      <c r="A6" s="24" t="s">
        <v>1</v>
      </c>
      <c r="B6" s="24"/>
      <c r="C6" s="24" t="s">
        <v>40</v>
      </c>
      <c r="D6" s="24"/>
      <c r="E6" s="20" t="s">
        <v>21</v>
      </c>
      <c r="F6" s="22"/>
      <c r="G6" s="22"/>
      <c r="H6" s="22"/>
      <c r="I6" s="22"/>
      <c r="J6" s="22"/>
      <c r="K6" s="22"/>
      <c r="L6" s="22"/>
      <c r="M6" s="22"/>
      <c r="N6" s="21"/>
      <c r="O6" s="32">
        <v>45387</v>
      </c>
      <c r="P6" s="33"/>
      <c r="Q6" s="32">
        <v>45388</v>
      </c>
      <c r="R6" s="33"/>
      <c r="S6" s="23">
        <v>45378</v>
      </c>
      <c r="T6" s="23"/>
      <c r="U6" s="23">
        <v>45378</v>
      </c>
      <c r="V6" s="23"/>
      <c r="W6" s="25" t="str">
        <f t="shared" si="3"/>
        <v>対応済み</v>
      </c>
      <c r="X6" s="26"/>
      <c r="Y6" s="27"/>
      <c r="Z6" s="28" t="str">
        <f t="shared" ca="1" si="4"/>
        <v/>
      </c>
      <c r="AA6" s="29"/>
      <c r="AB6" s="30">
        <v>1</v>
      </c>
      <c r="AC6" s="31"/>
      <c r="AD6" s="24" t="s">
        <v>4</v>
      </c>
      <c r="AE6" s="24"/>
    </row>
    <row r="7" spans="1:192">
      <c r="A7" s="24" t="s">
        <v>1</v>
      </c>
      <c r="B7" s="24"/>
      <c r="C7" s="24" t="s">
        <v>40</v>
      </c>
      <c r="D7" s="24"/>
      <c r="E7" s="20" t="s">
        <v>23</v>
      </c>
      <c r="F7" s="22"/>
      <c r="G7" s="22"/>
      <c r="H7" s="22"/>
      <c r="I7" s="22"/>
      <c r="J7" s="22"/>
      <c r="K7" s="22"/>
      <c r="L7" s="22"/>
      <c r="M7" s="22"/>
      <c r="N7" s="21"/>
      <c r="O7" s="32">
        <v>45387</v>
      </c>
      <c r="P7" s="33"/>
      <c r="Q7" s="32">
        <v>45388</v>
      </c>
      <c r="R7" s="33"/>
      <c r="S7" s="23">
        <v>45378</v>
      </c>
      <c r="T7" s="23"/>
      <c r="U7" s="23">
        <v>45378</v>
      </c>
      <c r="V7" s="23"/>
      <c r="W7" s="25" t="str">
        <f t="shared" si="3"/>
        <v>対応済み</v>
      </c>
      <c r="X7" s="26"/>
      <c r="Y7" s="27"/>
      <c r="Z7" s="28" t="str">
        <f t="shared" ca="1" si="4"/>
        <v/>
      </c>
      <c r="AA7" s="29"/>
      <c r="AB7" s="30">
        <v>1</v>
      </c>
      <c r="AC7" s="31"/>
      <c r="AD7" s="24" t="s">
        <v>4</v>
      </c>
      <c r="AE7" s="24"/>
    </row>
    <row r="8" spans="1:192">
      <c r="A8" s="24" t="s">
        <v>1</v>
      </c>
      <c r="B8" s="24"/>
      <c r="C8" s="24" t="s">
        <v>40</v>
      </c>
      <c r="D8" s="24"/>
      <c r="E8" s="20" t="s">
        <v>25</v>
      </c>
      <c r="F8" s="22"/>
      <c r="G8" s="22"/>
      <c r="H8" s="22"/>
      <c r="I8" s="22"/>
      <c r="J8" s="22"/>
      <c r="K8" s="22"/>
      <c r="L8" s="22"/>
      <c r="M8" s="22"/>
      <c r="N8" s="21"/>
      <c r="O8" s="23">
        <v>45389</v>
      </c>
      <c r="P8" s="23"/>
      <c r="Q8" s="23">
        <v>45393</v>
      </c>
      <c r="R8" s="23"/>
      <c r="S8" s="23">
        <v>45378</v>
      </c>
      <c r="T8" s="23"/>
      <c r="U8" s="23">
        <v>45378</v>
      </c>
      <c r="V8" s="23"/>
      <c r="W8" s="25" t="str">
        <f t="shared" si="3"/>
        <v>対応済み</v>
      </c>
      <c r="X8" s="26"/>
      <c r="Y8" s="27"/>
      <c r="Z8" s="28" t="str">
        <f t="shared" ca="1" si="4"/>
        <v/>
      </c>
      <c r="AA8" s="29"/>
      <c r="AB8" s="30">
        <v>1</v>
      </c>
      <c r="AC8" s="31"/>
      <c r="AD8" s="24" t="s">
        <v>4</v>
      </c>
      <c r="AE8" s="24"/>
    </row>
    <row r="9" spans="1:192">
      <c r="A9" s="24" t="s">
        <v>1</v>
      </c>
      <c r="B9" s="24"/>
      <c r="C9" s="24" t="s">
        <v>40</v>
      </c>
      <c r="D9" s="24"/>
      <c r="E9" s="20" t="s">
        <v>34</v>
      </c>
      <c r="F9" s="22"/>
      <c r="G9" s="22"/>
      <c r="H9" s="22"/>
      <c r="I9" s="22"/>
      <c r="J9" s="22"/>
      <c r="K9" s="22"/>
      <c r="L9" s="22"/>
      <c r="M9" s="22"/>
      <c r="N9" s="21"/>
      <c r="O9" s="23">
        <v>45389</v>
      </c>
      <c r="P9" s="23"/>
      <c r="Q9" s="23">
        <v>45393</v>
      </c>
      <c r="R9" s="23"/>
      <c r="S9" s="23">
        <v>45378</v>
      </c>
      <c r="T9" s="23"/>
      <c r="U9" s="23">
        <v>45378</v>
      </c>
      <c r="V9" s="23"/>
      <c r="W9" s="25" t="str">
        <f t="shared" si="3"/>
        <v>対応済み</v>
      </c>
      <c r="X9" s="26"/>
      <c r="Y9" s="27"/>
      <c r="Z9" s="28" t="str">
        <f t="shared" ca="1" si="4"/>
        <v/>
      </c>
      <c r="AA9" s="29"/>
      <c r="AB9" s="30">
        <v>1</v>
      </c>
      <c r="AC9" s="31"/>
      <c r="AD9" s="24" t="s">
        <v>4</v>
      </c>
      <c r="AE9" s="24"/>
    </row>
    <row r="10" spans="1:192">
      <c r="A10" s="24" t="s">
        <v>1</v>
      </c>
      <c r="B10" s="24"/>
      <c r="C10" s="24" t="s">
        <v>40</v>
      </c>
      <c r="D10" s="24"/>
      <c r="E10" s="20" t="s">
        <v>29</v>
      </c>
      <c r="F10" s="22"/>
      <c r="G10" s="22"/>
      <c r="H10" s="22"/>
      <c r="I10" s="22"/>
      <c r="J10" s="22"/>
      <c r="K10" s="22"/>
      <c r="L10" s="22"/>
      <c r="M10" s="22"/>
      <c r="N10" s="21"/>
      <c r="O10" s="23">
        <v>45394</v>
      </c>
      <c r="P10" s="23"/>
      <c r="Q10" s="23">
        <v>45395</v>
      </c>
      <c r="R10" s="23"/>
      <c r="S10" s="23">
        <v>45378</v>
      </c>
      <c r="T10" s="23"/>
      <c r="U10" s="23">
        <v>45378</v>
      </c>
      <c r="V10" s="23"/>
      <c r="W10" s="25" t="str">
        <f t="shared" si="3"/>
        <v>対応済み</v>
      </c>
      <c r="X10" s="26"/>
      <c r="Y10" s="27"/>
      <c r="Z10" s="28" t="str">
        <f t="shared" ca="1" si="4"/>
        <v/>
      </c>
      <c r="AA10" s="29"/>
      <c r="AB10" s="30">
        <v>1</v>
      </c>
      <c r="AC10" s="31"/>
      <c r="AD10" s="24" t="s">
        <v>4</v>
      </c>
      <c r="AE10" s="24"/>
    </row>
    <row r="11" spans="1:192">
      <c r="A11" s="24" t="s">
        <v>1</v>
      </c>
      <c r="B11" s="24"/>
      <c r="C11" s="24" t="s">
        <v>40</v>
      </c>
      <c r="D11" s="24"/>
      <c r="E11" s="20" t="s">
        <v>27</v>
      </c>
      <c r="F11" s="22"/>
      <c r="G11" s="22"/>
      <c r="H11" s="22"/>
      <c r="I11" s="22"/>
      <c r="J11" s="22"/>
      <c r="K11" s="22"/>
      <c r="L11" s="22"/>
      <c r="M11" s="22"/>
      <c r="N11" s="21"/>
      <c r="O11" s="23">
        <v>45394</v>
      </c>
      <c r="P11" s="23"/>
      <c r="Q11" s="23">
        <v>45395</v>
      </c>
      <c r="R11" s="23"/>
      <c r="S11" s="23">
        <v>45378</v>
      </c>
      <c r="T11" s="23"/>
      <c r="U11" s="23">
        <v>45378</v>
      </c>
      <c r="V11" s="23"/>
      <c r="W11" s="25" t="str">
        <f t="shared" si="3"/>
        <v>対応済み</v>
      </c>
      <c r="X11" s="26"/>
      <c r="Y11" s="27"/>
      <c r="Z11" s="28" t="str">
        <f t="shared" ca="1" si="4"/>
        <v/>
      </c>
      <c r="AA11" s="29"/>
      <c r="AB11" s="30">
        <v>1</v>
      </c>
      <c r="AC11" s="31"/>
      <c r="AD11" s="24" t="s">
        <v>4</v>
      </c>
      <c r="AE11" s="24"/>
    </row>
    <row r="12" spans="1:192">
      <c r="A12" s="24" t="s">
        <v>1</v>
      </c>
      <c r="B12" s="24"/>
      <c r="C12" s="24" t="s">
        <v>40</v>
      </c>
      <c r="D12" s="24"/>
      <c r="E12" s="20" t="s">
        <v>38</v>
      </c>
      <c r="F12" s="22"/>
      <c r="G12" s="22"/>
      <c r="H12" s="22"/>
      <c r="I12" s="22"/>
      <c r="J12" s="22"/>
      <c r="K12" s="22"/>
      <c r="L12" s="22"/>
      <c r="M12" s="22"/>
      <c r="N12" s="21"/>
      <c r="O12" s="23">
        <v>45396</v>
      </c>
      <c r="P12" s="23"/>
      <c r="Q12" s="23">
        <v>45400</v>
      </c>
      <c r="R12" s="23"/>
      <c r="S12" s="23"/>
      <c r="T12" s="23"/>
      <c r="U12" s="23"/>
      <c r="V12" s="23"/>
      <c r="W12" s="25" t="str">
        <f t="shared" ca="1" si="3"/>
        <v/>
      </c>
      <c r="X12" s="26"/>
      <c r="Y12" s="27"/>
      <c r="Z12" s="28" t="str">
        <f t="shared" ca="1" si="4"/>
        <v/>
      </c>
      <c r="AA12" s="29"/>
      <c r="AB12" s="30"/>
      <c r="AC12" s="31"/>
      <c r="AD12" s="24" t="s">
        <v>4</v>
      </c>
      <c r="AE12" s="24"/>
    </row>
    <row r="13" spans="1:192">
      <c r="A13" s="24" t="s">
        <v>1</v>
      </c>
      <c r="B13" s="21"/>
      <c r="C13" s="24" t="s">
        <v>40</v>
      </c>
      <c r="D13" s="24"/>
      <c r="E13" s="20" t="s">
        <v>36</v>
      </c>
      <c r="F13" s="22"/>
      <c r="G13" s="22"/>
      <c r="H13" s="22"/>
      <c r="I13" s="22"/>
      <c r="J13" s="22"/>
      <c r="K13" s="22"/>
      <c r="L13" s="22"/>
      <c r="M13" s="22"/>
      <c r="N13" s="21"/>
      <c r="O13" s="23">
        <v>45396</v>
      </c>
      <c r="P13" s="23"/>
      <c r="Q13" s="23">
        <v>45400</v>
      </c>
      <c r="R13" s="23"/>
      <c r="S13" s="23"/>
      <c r="T13" s="23"/>
      <c r="U13" s="23"/>
      <c r="V13" s="23"/>
      <c r="W13" s="25" t="str">
        <f t="shared" ca="1" si="3"/>
        <v/>
      </c>
      <c r="X13" s="26"/>
      <c r="Y13" s="27"/>
      <c r="Z13" s="28" t="str">
        <f t="shared" ca="1" si="4"/>
        <v/>
      </c>
      <c r="AA13" s="29"/>
      <c r="AB13" s="30"/>
      <c r="AC13" s="31"/>
      <c r="AD13" s="24" t="s">
        <v>4</v>
      </c>
      <c r="AE13" s="24"/>
    </row>
    <row r="14" spans="1:192">
      <c r="A14" s="20" t="s">
        <v>15</v>
      </c>
      <c r="B14" s="21"/>
      <c r="C14" s="24" t="s">
        <v>40</v>
      </c>
      <c r="D14" s="24"/>
      <c r="E14" s="20" t="s">
        <v>17</v>
      </c>
      <c r="F14" s="22"/>
      <c r="G14" s="22"/>
      <c r="H14" s="22"/>
      <c r="I14" s="22"/>
      <c r="J14" s="22"/>
      <c r="K14" s="22"/>
      <c r="L14" s="22"/>
      <c r="M14" s="22"/>
      <c r="N14" s="21"/>
      <c r="O14" s="23">
        <v>45401</v>
      </c>
      <c r="P14" s="23"/>
      <c r="Q14" s="23">
        <v>45402</v>
      </c>
      <c r="R14" s="23"/>
      <c r="S14" s="23"/>
      <c r="T14" s="23"/>
      <c r="U14" s="23"/>
      <c r="V14" s="23"/>
      <c r="W14" s="25" t="str">
        <f t="shared" ca="1" si="3"/>
        <v/>
      </c>
      <c r="X14" s="26"/>
      <c r="Y14" s="27"/>
      <c r="Z14" s="28" t="str">
        <f t="shared" ca="1" si="4"/>
        <v/>
      </c>
      <c r="AA14" s="29"/>
      <c r="AB14" s="30"/>
      <c r="AC14" s="31"/>
      <c r="AD14" s="24" t="s">
        <v>4</v>
      </c>
      <c r="AE14" s="24"/>
    </row>
    <row r="15" spans="1:192">
      <c r="A15" s="20" t="s">
        <v>15</v>
      </c>
      <c r="B15" s="21"/>
      <c r="C15" s="24" t="s">
        <v>40</v>
      </c>
      <c r="D15" s="24"/>
      <c r="E15" s="20" t="s">
        <v>19</v>
      </c>
      <c r="F15" s="22"/>
      <c r="G15" s="22"/>
      <c r="H15" s="22"/>
      <c r="I15" s="22"/>
      <c r="J15" s="22"/>
      <c r="K15" s="22"/>
      <c r="L15" s="22"/>
      <c r="M15" s="22"/>
      <c r="N15" s="21"/>
      <c r="O15" s="23">
        <v>45401</v>
      </c>
      <c r="P15" s="23"/>
      <c r="Q15" s="23">
        <v>45402</v>
      </c>
      <c r="R15" s="23"/>
      <c r="S15" s="23"/>
      <c r="T15" s="23"/>
      <c r="U15" s="23"/>
      <c r="V15" s="23"/>
      <c r="W15" s="25" t="str">
        <f t="shared" ca="1" si="3"/>
        <v/>
      </c>
      <c r="X15" s="26"/>
      <c r="Y15" s="27"/>
      <c r="Z15" s="28" t="str">
        <f t="shared" ca="1" si="4"/>
        <v/>
      </c>
      <c r="AA15" s="29"/>
      <c r="AB15" s="30"/>
      <c r="AC15" s="31"/>
      <c r="AD15" s="24" t="s">
        <v>4</v>
      </c>
      <c r="AE15" s="24"/>
    </row>
    <row r="16" spans="1:192">
      <c r="A16" s="20" t="s">
        <v>15</v>
      </c>
      <c r="B16" s="21"/>
      <c r="C16" s="24" t="s">
        <v>40</v>
      </c>
      <c r="D16" s="24"/>
      <c r="E16" s="20" t="s">
        <v>21</v>
      </c>
      <c r="F16" s="22"/>
      <c r="G16" s="22"/>
      <c r="H16" s="22"/>
      <c r="I16" s="22"/>
      <c r="J16" s="22"/>
      <c r="K16" s="22"/>
      <c r="L16" s="22"/>
      <c r="M16" s="22"/>
      <c r="N16" s="21"/>
      <c r="O16" s="23">
        <v>45403</v>
      </c>
      <c r="P16" s="23"/>
      <c r="Q16" s="23">
        <v>45407</v>
      </c>
      <c r="R16" s="23"/>
      <c r="S16" s="23"/>
      <c r="T16" s="23"/>
      <c r="U16" s="23"/>
      <c r="V16" s="23"/>
      <c r="W16" s="25" t="str">
        <f t="shared" ca="1" si="3"/>
        <v/>
      </c>
      <c r="X16" s="26"/>
      <c r="Y16" s="27"/>
      <c r="Z16" s="28" t="str">
        <f t="shared" ca="1" si="4"/>
        <v/>
      </c>
      <c r="AA16" s="29"/>
      <c r="AB16" s="30"/>
      <c r="AC16" s="31"/>
      <c r="AD16" s="24" t="s">
        <v>4</v>
      </c>
      <c r="AE16" s="24"/>
    </row>
    <row r="17" spans="1:31">
      <c r="A17" s="20" t="s">
        <v>15</v>
      </c>
      <c r="B17" s="21"/>
      <c r="C17" s="24" t="s">
        <v>40</v>
      </c>
      <c r="D17" s="24"/>
      <c r="E17" s="20" t="s">
        <v>23</v>
      </c>
      <c r="F17" s="22"/>
      <c r="G17" s="22"/>
      <c r="H17" s="22"/>
      <c r="I17" s="22"/>
      <c r="J17" s="22"/>
      <c r="K17" s="22"/>
      <c r="L17" s="22"/>
      <c r="M17" s="22"/>
      <c r="N17" s="21"/>
      <c r="O17" s="23">
        <v>45403</v>
      </c>
      <c r="P17" s="23"/>
      <c r="Q17" s="23">
        <v>45407</v>
      </c>
      <c r="R17" s="23"/>
      <c r="S17" s="23"/>
      <c r="T17" s="23"/>
      <c r="U17" s="23"/>
      <c r="V17" s="23"/>
      <c r="W17" s="25" t="str">
        <f t="shared" ca="1" si="3"/>
        <v/>
      </c>
      <c r="X17" s="26"/>
      <c r="Y17" s="27"/>
      <c r="Z17" s="28" t="str">
        <f t="shared" ca="1" si="4"/>
        <v/>
      </c>
      <c r="AA17" s="29"/>
      <c r="AB17" s="30"/>
      <c r="AC17" s="31"/>
      <c r="AD17" s="24" t="s">
        <v>4</v>
      </c>
      <c r="AE17" s="24"/>
    </row>
    <row r="18" spans="1:31">
      <c r="A18" s="20" t="s">
        <v>15</v>
      </c>
      <c r="B18" s="21"/>
      <c r="C18" s="24" t="s">
        <v>40</v>
      </c>
      <c r="D18" s="24"/>
      <c r="E18" s="20" t="s">
        <v>25</v>
      </c>
      <c r="F18" s="22"/>
      <c r="G18" s="22"/>
      <c r="H18" s="22"/>
      <c r="I18" s="22"/>
      <c r="J18" s="22"/>
      <c r="K18" s="22"/>
      <c r="L18" s="22"/>
      <c r="M18" s="22"/>
      <c r="N18" s="21"/>
      <c r="O18" s="23">
        <v>45408</v>
      </c>
      <c r="P18" s="23"/>
      <c r="Q18" s="23">
        <v>45409</v>
      </c>
      <c r="R18" s="23"/>
      <c r="S18" s="23"/>
      <c r="T18" s="23"/>
      <c r="U18" s="23"/>
      <c r="V18" s="23"/>
      <c r="W18" s="25" t="str">
        <f t="shared" ca="1" si="3"/>
        <v/>
      </c>
      <c r="X18" s="26"/>
      <c r="Y18" s="27"/>
      <c r="Z18" s="28" t="str">
        <f t="shared" ca="1" si="4"/>
        <v/>
      </c>
      <c r="AA18" s="29"/>
      <c r="AB18" s="30"/>
      <c r="AC18" s="31"/>
      <c r="AD18" s="24" t="s">
        <v>4</v>
      </c>
      <c r="AE18" s="24"/>
    </row>
    <row r="19" spans="1:31">
      <c r="A19" s="20" t="s">
        <v>15</v>
      </c>
      <c r="B19" s="21"/>
      <c r="C19" s="24" t="s">
        <v>40</v>
      </c>
      <c r="D19" s="24"/>
      <c r="E19" s="20" t="s">
        <v>34</v>
      </c>
      <c r="F19" s="22"/>
      <c r="G19" s="22"/>
      <c r="H19" s="22"/>
      <c r="I19" s="22"/>
      <c r="J19" s="22"/>
      <c r="K19" s="22"/>
      <c r="L19" s="22"/>
      <c r="M19" s="22"/>
      <c r="N19" s="21"/>
      <c r="O19" s="23">
        <v>45408</v>
      </c>
      <c r="P19" s="23"/>
      <c r="Q19" s="23">
        <v>45409</v>
      </c>
      <c r="R19" s="23"/>
      <c r="S19" s="23"/>
      <c r="T19" s="23"/>
      <c r="U19" s="23"/>
      <c r="V19" s="23"/>
      <c r="W19" s="25" t="str">
        <f t="shared" ca="1" si="3"/>
        <v/>
      </c>
      <c r="X19" s="26"/>
      <c r="Y19" s="27"/>
      <c r="Z19" s="28" t="str">
        <f t="shared" ca="1" si="4"/>
        <v/>
      </c>
      <c r="AA19" s="29"/>
      <c r="AB19" s="30"/>
      <c r="AC19" s="31"/>
      <c r="AD19" s="24" t="s">
        <v>4</v>
      </c>
      <c r="AE19" s="24"/>
    </row>
    <row r="20" spans="1:31">
      <c r="A20" s="20" t="s">
        <v>15</v>
      </c>
      <c r="B20" s="21"/>
      <c r="C20" s="24" t="s">
        <v>40</v>
      </c>
      <c r="D20" s="24"/>
      <c r="E20" s="20" t="s">
        <v>29</v>
      </c>
      <c r="F20" s="22"/>
      <c r="G20" s="22"/>
      <c r="H20" s="22"/>
      <c r="I20" s="22"/>
      <c r="J20" s="22"/>
      <c r="K20" s="22"/>
      <c r="L20" s="22"/>
      <c r="M20" s="22"/>
      <c r="N20" s="21"/>
      <c r="O20" s="23">
        <v>45410</v>
      </c>
      <c r="P20" s="23"/>
      <c r="Q20" s="23">
        <v>45414</v>
      </c>
      <c r="R20" s="23"/>
      <c r="S20" s="23"/>
      <c r="T20" s="23"/>
      <c r="U20" s="23"/>
      <c r="V20" s="23"/>
      <c r="W20" s="25" t="str">
        <f t="shared" ca="1" si="3"/>
        <v/>
      </c>
      <c r="X20" s="26"/>
      <c r="Y20" s="27"/>
      <c r="Z20" s="28" t="str">
        <f t="shared" ca="1" si="4"/>
        <v/>
      </c>
      <c r="AA20" s="29"/>
      <c r="AB20" s="30"/>
      <c r="AC20" s="31"/>
      <c r="AD20" s="24" t="s">
        <v>4</v>
      </c>
      <c r="AE20" s="24"/>
    </row>
    <row r="21" spans="1:31">
      <c r="A21" s="20" t="s">
        <v>15</v>
      </c>
      <c r="B21" s="21"/>
      <c r="C21" s="24" t="s">
        <v>40</v>
      </c>
      <c r="D21" s="24"/>
      <c r="E21" s="20" t="s">
        <v>27</v>
      </c>
      <c r="F21" s="22"/>
      <c r="G21" s="22"/>
      <c r="H21" s="22"/>
      <c r="I21" s="22"/>
      <c r="J21" s="22"/>
      <c r="K21" s="22"/>
      <c r="L21" s="22"/>
      <c r="M21" s="22"/>
      <c r="N21" s="21"/>
      <c r="O21" s="23">
        <v>45410</v>
      </c>
      <c r="P21" s="23"/>
      <c r="Q21" s="23">
        <v>45414</v>
      </c>
      <c r="R21" s="23"/>
      <c r="S21" s="23"/>
      <c r="T21" s="23"/>
      <c r="U21" s="23"/>
      <c r="V21" s="23"/>
      <c r="W21" s="25" t="str">
        <f t="shared" ca="1" si="3"/>
        <v/>
      </c>
      <c r="X21" s="26"/>
      <c r="Y21" s="27"/>
      <c r="Z21" s="28" t="str">
        <f t="shared" ca="1" si="4"/>
        <v/>
      </c>
      <c r="AA21" s="29"/>
      <c r="AB21" s="30"/>
      <c r="AC21" s="31"/>
      <c r="AD21" s="24" t="s">
        <v>4</v>
      </c>
      <c r="AE21" s="24"/>
    </row>
    <row r="22" spans="1:31">
      <c r="A22" s="20" t="s">
        <v>15</v>
      </c>
      <c r="B22" s="21"/>
      <c r="C22" s="24" t="s">
        <v>40</v>
      </c>
      <c r="D22" s="24"/>
      <c r="E22" s="20" t="s">
        <v>38</v>
      </c>
      <c r="F22" s="22"/>
      <c r="G22" s="22"/>
      <c r="H22" s="22"/>
      <c r="I22" s="22"/>
      <c r="J22" s="22"/>
      <c r="K22" s="22"/>
      <c r="L22" s="22"/>
      <c r="M22" s="22"/>
      <c r="N22" s="21"/>
      <c r="O22" s="23">
        <v>45415</v>
      </c>
      <c r="P22" s="23"/>
      <c r="Q22" s="23">
        <v>45416</v>
      </c>
      <c r="R22" s="23"/>
      <c r="S22" s="23"/>
      <c r="T22" s="23"/>
      <c r="U22" s="23"/>
      <c r="V22" s="23"/>
      <c r="W22" s="25" t="str">
        <f t="shared" ca="1" si="3"/>
        <v/>
      </c>
      <c r="X22" s="26"/>
      <c r="Y22" s="27"/>
      <c r="Z22" s="28" t="str">
        <f t="shared" ca="1" si="4"/>
        <v/>
      </c>
      <c r="AA22" s="29"/>
      <c r="AB22" s="30"/>
      <c r="AC22" s="31"/>
      <c r="AD22" s="24" t="s">
        <v>4</v>
      </c>
      <c r="AE22" s="24"/>
    </row>
    <row r="23" spans="1:31">
      <c r="A23" s="20" t="s">
        <v>15</v>
      </c>
      <c r="B23" s="21"/>
      <c r="C23" s="24" t="s">
        <v>40</v>
      </c>
      <c r="D23" s="24"/>
      <c r="E23" s="20" t="s">
        <v>36</v>
      </c>
      <c r="F23" s="22"/>
      <c r="G23" s="22"/>
      <c r="H23" s="22"/>
      <c r="I23" s="22"/>
      <c r="J23" s="22"/>
      <c r="K23" s="22"/>
      <c r="L23" s="22"/>
      <c r="M23" s="22"/>
      <c r="N23" s="21"/>
      <c r="O23" s="23">
        <v>45415</v>
      </c>
      <c r="P23" s="23"/>
      <c r="Q23" s="23">
        <v>45416</v>
      </c>
      <c r="R23" s="23"/>
      <c r="S23" s="23"/>
      <c r="T23" s="23"/>
      <c r="U23" s="23"/>
      <c r="V23" s="23"/>
      <c r="W23" s="25" t="str">
        <f t="shared" ref="W23:W24" ca="1" si="5">IF(AB23=100%,"対応済み",IF(AB23&gt;0,"対応中",IF(Z23="","","開始待ち")))</f>
        <v/>
      </c>
      <c r="X23" s="26"/>
      <c r="Y23" s="27"/>
      <c r="Z23" s="28" t="str">
        <f t="shared" ref="Z23:Z24" ca="1" si="6">IF(TODAY()&gt;=O23,(TODAY()-O23)/(Q23-O23),"")</f>
        <v/>
      </c>
      <c r="AA23" s="29"/>
      <c r="AB23" s="30"/>
      <c r="AC23" s="31"/>
      <c r="AD23" s="24" t="s">
        <v>4</v>
      </c>
      <c r="AE23" s="24"/>
    </row>
    <row r="24" spans="1:31">
      <c r="A24" s="24" t="s">
        <v>1</v>
      </c>
      <c r="B24" s="21"/>
      <c r="C24" s="24" t="s">
        <v>40</v>
      </c>
      <c r="D24" s="24"/>
      <c r="E24" s="20" t="s">
        <v>46</v>
      </c>
      <c r="F24" s="22"/>
      <c r="G24" s="22"/>
      <c r="H24" s="22"/>
      <c r="I24" s="22"/>
      <c r="J24" s="22"/>
      <c r="K24" s="22"/>
      <c r="L24" s="22"/>
      <c r="M24" s="22"/>
      <c r="N24" s="21"/>
      <c r="O24" s="23">
        <v>45417</v>
      </c>
      <c r="P24" s="23"/>
      <c r="Q24" s="23">
        <v>45430</v>
      </c>
      <c r="R24" s="23"/>
      <c r="S24" s="23"/>
      <c r="T24" s="23"/>
      <c r="U24" s="23"/>
      <c r="V24" s="23"/>
      <c r="W24" s="25" t="str">
        <f t="shared" ca="1" si="5"/>
        <v/>
      </c>
      <c r="X24" s="26"/>
      <c r="Y24" s="27"/>
      <c r="Z24" s="28" t="str">
        <f t="shared" ca="1" si="6"/>
        <v/>
      </c>
      <c r="AA24" s="29"/>
      <c r="AB24" s="30"/>
      <c r="AC24" s="31"/>
      <c r="AD24" s="24" t="s">
        <v>4</v>
      </c>
      <c r="AE24" s="24"/>
    </row>
    <row r="25" spans="1:31">
      <c r="A25" s="20" t="s">
        <v>15</v>
      </c>
      <c r="B25" s="21"/>
      <c r="C25" s="24" t="s">
        <v>40</v>
      </c>
      <c r="D25" s="24"/>
      <c r="E25" s="20" t="s">
        <v>46</v>
      </c>
      <c r="F25" s="22"/>
      <c r="G25" s="22"/>
      <c r="H25" s="22"/>
      <c r="I25" s="22"/>
      <c r="J25" s="22"/>
      <c r="K25" s="22"/>
      <c r="L25" s="22"/>
      <c r="M25" s="22"/>
      <c r="N25" s="21"/>
      <c r="O25" s="23">
        <v>45431</v>
      </c>
      <c r="P25" s="23"/>
      <c r="Q25" s="23">
        <v>45443</v>
      </c>
      <c r="R25" s="23"/>
      <c r="S25" s="23"/>
      <c r="T25" s="23"/>
      <c r="U25" s="23"/>
      <c r="V25" s="23"/>
      <c r="W25" s="25" t="str">
        <f t="shared" ref="W25" ca="1" si="7">IF(AB25=100%,"対応済み",IF(AB25&gt;0,"対応中",IF(Z25="","","開始待ち")))</f>
        <v/>
      </c>
      <c r="X25" s="26"/>
      <c r="Y25" s="27"/>
      <c r="Z25" s="28" t="str">
        <f t="shared" ref="Z25" ca="1" si="8">IF(TODAY()&gt;=O25,(TODAY()-O25)/(Q25-O25),"")</f>
        <v/>
      </c>
      <c r="AA25" s="29"/>
      <c r="AB25" s="30"/>
      <c r="AC25" s="31"/>
      <c r="AD25" s="24" t="s">
        <v>4</v>
      </c>
      <c r="AE25" s="24"/>
    </row>
    <row r="26" spans="1:31">
      <c r="A26" s="24" t="s">
        <v>1</v>
      </c>
      <c r="B26" s="24"/>
      <c r="C26" s="20" t="s">
        <v>42</v>
      </c>
      <c r="D26" s="21"/>
      <c r="E26" s="20" t="s">
        <v>17</v>
      </c>
      <c r="F26" s="22"/>
      <c r="G26" s="22"/>
      <c r="H26" s="22"/>
      <c r="I26" s="22"/>
      <c r="J26" s="22"/>
      <c r="K26" s="22"/>
      <c r="L26" s="22"/>
      <c r="M26" s="22"/>
      <c r="N26" s="21"/>
      <c r="O26" s="23">
        <v>45444</v>
      </c>
      <c r="P26" s="23"/>
      <c r="Q26" s="23">
        <v>45449</v>
      </c>
      <c r="R26" s="23"/>
      <c r="S26" s="23"/>
      <c r="T26" s="23"/>
      <c r="U26" s="23"/>
      <c r="V26" s="23"/>
      <c r="W26" s="25" t="str">
        <f ca="1">IF(AB26=100%,"対応済み",IF(AB26&gt;0,"対応中",IF(Z26="","","開始待ち")))</f>
        <v/>
      </c>
      <c r="X26" s="26"/>
      <c r="Y26" s="27"/>
      <c r="Z26" s="28" t="str">
        <f ca="1">IF(TODAY()&gt;=O26,(TODAY()-O26)/(Q26-O26),"")</f>
        <v/>
      </c>
      <c r="AA26" s="29"/>
      <c r="AB26" s="30"/>
      <c r="AC26" s="31"/>
      <c r="AD26" s="24" t="s">
        <v>4</v>
      </c>
      <c r="AE26" s="24"/>
    </row>
    <row r="27" spans="1:31">
      <c r="A27" s="24" t="s">
        <v>1</v>
      </c>
      <c r="B27" s="24"/>
      <c r="C27" s="20" t="s">
        <v>42</v>
      </c>
      <c r="D27" s="21"/>
      <c r="E27" s="20" t="s">
        <v>19</v>
      </c>
      <c r="F27" s="22"/>
      <c r="G27" s="22"/>
      <c r="H27" s="22"/>
      <c r="I27" s="22"/>
      <c r="J27" s="22"/>
      <c r="K27" s="22"/>
      <c r="L27" s="22"/>
      <c r="M27" s="22"/>
      <c r="N27" s="21"/>
      <c r="O27" s="23">
        <v>45444</v>
      </c>
      <c r="P27" s="23"/>
      <c r="Q27" s="23">
        <v>45449</v>
      </c>
      <c r="R27" s="23"/>
      <c r="S27" s="23"/>
      <c r="T27" s="23"/>
      <c r="U27" s="23"/>
      <c r="V27" s="23"/>
      <c r="W27" s="25" t="str">
        <f t="shared" ref="W27:W47" ca="1" si="9">IF(AB27=100%,"対応済み",IF(AB27&gt;0,"対応中",IF(Z27="","","開始待ち")))</f>
        <v/>
      </c>
      <c r="X27" s="26"/>
      <c r="Y27" s="27"/>
      <c r="Z27" s="28" t="str">
        <f t="shared" ref="Z27:Z47" ca="1" si="10">IF(TODAY()&gt;=O27,(TODAY()-O27)/(Q27-O27),"")</f>
        <v/>
      </c>
      <c r="AA27" s="29"/>
      <c r="AB27" s="30"/>
      <c r="AC27" s="31"/>
      <c r="AD27" s="24" t="s">
        <v>4</v>
      </c>
      <c r="AE27" s="24"/>
    </row>
    <row r="28" spans="1:31">
      <c r="A28" s="24" t="s">
        <v>1</v>
      </c>
      <c r="B28" s="24"/>
      <c r="C28" s="20" t="s">
        <v>42</v>
      </c>
      <c r="D28" s="21"/>
      <c r="E28" s="20" t="s">
        <v>21</v>
      </c>
      <c r="F28" s="22"/>
      <c r="G28" s="22"/>
      <c r="H28" s="22"/>
      <c r="I28" s="22"/>
      <c r="J28" s="22"/>
      <c r="K28" s="22"/>
      <c r="L28" s="22"/>
      <c r="M28" s="22"/>
      <c r="N28" s="21"/>
      <c r="O28" s="32">
        <v>45450</v>
      </c>
      <c r="P28" s="33"/>
      <c r="Q28" s="32">
        <v>45451</v>
      </c>
      <c r="R28" s="33"/>
      <c r="S28" s="23"/>
      <c r="T28" s="23"/>
      <c r="U28" s="23"/>
      <c r="V28" s="23"/>
      <c r="W28" s="25" t="str">
        <f t="shared" ca="1" si="9"/>
        <v/>
      </c>
      <c r="X28" s="26"/>
      <c r="Y28" s="27"/>
      <c r="Z28" s="28" t="str">
        <f t="shared" ca="1" si="10"/>
        <v/>
      </c>
      <c r="AA28" s="29"/>
      <c r="AB28" s="30"/>
      <c r="AC28" s="31"/>
      <c r="AD28" s="24" t="s">
        <v>4</v>
      </c>
      <c r="AE28" s="24"/>
    </row>
    <row r="29" spans="1:31">
      <c r="A29" s="24" t="s">
        <v>1</v>
      </c>
      <c r="B29" s="24"/>
      <c r="C29" s="20" t="s">
        <v>42</v>
      </c>
      <c r="D29" s="21"/>
      <c r="E29" s="20" t="s">
        <v>23</v>
      </c>
      <c r="F29" s="22"/>
      <c r="G29" s="22"/>
      <c r="H29" s="22"/>
      <c r="I29" s="22"/>
      <c r="J29" s="22"/>
      <c r="K29" s="22"/>
      <c r="L29" s="22"/>
      <c r="M29" s="22"/>
      <c r="N29" s="21"/>
      <c r="O29" s="32">
        <v>45450</v>
      </c>
      <c r="P29" s="33"/>
      <c r="Q29" s="32">
        <v>45451</v>
      </c>
      <c r="R29" s="33"/>
      <c r="S29" s="23"/>
      <c r="T29" s="23"/>
      <c r="U29" s="23"/>
      <c r="V29" s="23"/>
      <c r="W29" s="25" t="str">
        <f t="shared" ca="1" si="9"/>
        <v/>
      </c>
      <c r="X29" s="26"/>
      <c r="Y29" s="27"/>
      <c r="Z29" s="28" t="str">
        <f t="shared" ca="1" si="10"/>
        <v/>
      </c>
      <c r="AA29" s="29"/>
      <c r="AB29" s="30"/>
      <c r="AC29" s="31"/>
      <c r="AD29" s="24" t="s">
        <v>4</v>
      </c>
      <c r="AE29" s="24"/>
    </row>
    <row r="30" spans="1:31">
      <c r="A30" s="24" t="s">
        <v>1</v>
      </c>
      <c r="B30" s="24"/>
      <c r="C30" s="20" t="s">
        <v>42</v>
      </c>
      <c r="D30" s="21"/>
      <c r="E30" s="20" t="s">
        <v>25</v>
      </c>
      <c r="F30" s="22"/>
      <c r="G30" s="22"/>
      <c r="H30" s="22"/>
      <c r="I30" s="22"/>
      <c r="J30" s="22"/>
      <c r="K30" s="22"/>
      <c r="L30" s="22"/>
      <c r="M30" s="22"/>
      <c r="N30" s="21"/>
      <c r="O30" s="23">
        <v>45452</v>
      </c>
      <c r="P30" s="23"/>
      <c r="Q30" s="23">
        <v>45456</v>
      </c>
      <c r="R30" s="23"/>
      <c r="S30" s="23"/>
      <c r="T30" s="23"/>
      <c r="U30" s="23"/>
      <c r="V30" s="23"/>
      <c r="W30" s="25" t="str">
        <f t="shared" ca="1" si="9"/>
        <v/>
      </c>
      <c r="X30" s="26"/>
      <c r="Y30" s="27"/>
      <c r="Z30" s="28" t="str">
        <f t="shared" ca="1" si="10"/>
        <v/>
      </c>
      <c r="AA30" s="29"/>
      <c r="AB30" s="30"/>
      <c r="AC30" s="31"/>
      <c r="AD30" s="24" t="s">
        <v>4</v>
      </c>
      <c r="AE30" s="24"/>
    </row>
    <row r="31" spans="1:31">
      <c r="A31" s="24" t="s">
        <v>1</v>
      </c>
      <c r="B31" s="24"/>
      <c r="C31" s="20" t="s">
        <v>42</v>
      </c>
      <c r="D31" s="21"/>
      <c r="E31" s="20" t="s">
        <v>34</v>
      </c>
      <c r="F31" s="22"/>
      <c r="G31" s="22"/>
      <c r="H31" s="22"/>
      <c r="I31" s="22"/>
      <c r="J31" s="22"/>
      <c r="K31" s="22"/>
      <c r="L31" s="22"/>
      <c r="M31" s="22"/>
      <c r="N31" s="21"/>
      <c r="O31" s="23">
        <v>45452</v>
      </c>
      <c r="P31" s="23"/>
      <c r="Q31" s="23">
        <v>45456</v>
      </c>
      <c r="R31" s="23"/>
      <c r="S31" s="23"/>
      <c r="T31" s="23"/>
      <c r="U31" s="23"/>
      <c r="V31" s="23"/>
      <c r="W31" s="25" t="str">
        <f t="shared" ca="1" si="9"/>
        <v/>
      </c>
      <c r="X31" s="26"/>
      <c r="Y31" s="27"/>
      <c r="Z31" s="28" t="str">
        <f t="shared" ca="1" si="10"/>
        <v/>
      </c>
      <c r="AA31" s="29"/>
      <c r="AB31" s="30"/>
      <c r="AC31" s="31"/>
      <c r="AD31" s="24" t="s">
        <v>4</v>
      </c>
      <c r="AE31" s="24"/>
    </row>
    <row r="32" spans="1:31">
      <c r="A32" s="24" t="s">
        <v>1</v>
      </c>
      <c r="B32" s="24"/>
      <c r="C32" s="20" t="s">
        <v>42</v>
      </c>
      <c r="D32" s="21"/>
      <c r="E32" s="20" t="s">
        <v>29</v>
      </c>
      <c r="F32" s="22"/>
      <c r="G32" s="22"/>
      <c r="H32" s="22"/>
      <c r="I32" s="22"/>
      <c r="J32" s="22"/>
      <c r="K32" s="22"/>
      <c r="L32" s="22"/>
      <c r="M32" s="22"/>
      <c r="N32" s="21"/>
      <c r="O32" s="23">
        <v>45457</v>
      </c>
      <c r="P32" s="23"/>
      <c r="Q32" s="23">
        <v>45458</v>
      </c>
      <c r="R32" s="23"/>
      <c r="S32" s="23"/>
      <c r="T32" s="23"/>
      <c r="U32" s="23"/>
      <c r="V32" s="23"/>
      <c r="W32" s="25" t="str">
        <f t="shared" ca="1" si="9"/>
        <v/>
      </c>
      <c r="X32" s="26"/>
      <c r="Y32" s="27"/>
      <c r="Z32" s="28" t="str">
        <f t="shared" ca="1" si="10"/>
        <v/>
      </c>
      <c r="AA32" s="29"/>
      <c r="AB32" s="30"/>
      <c r="AC32" s="31"/>
      <c r="AD32" s="24" t="s">
        <v>4</v>
      </c>
      <c r="AE32" s="24"/>
    </row>
    <row r="33" spans="1:31">
      <c r="A33" s="24" t="s">
        <v>1</v>
      </c>
      <c r="B33" s="24"/>
      <c r="C33" s="20" t="s">
        <v>42</v>
      </c>
      <c r="D33" s="21"/>
      <c r="E33" s="20" t="s">
        <v>27</v>
      </c>
      <c r="F33" s="22"/>
      <c r="G33" s="22"/>
      <c r="H33" s="22"/>
      <c r="I33" s="22"/>
      <c r="J33" s="22"/>
      <c r="K33" s="22"/>
      <c r="L33" s="22"/>
      <c r="M33" s="22"/>
      <c r="N33" s="21"/>
      <c r="O33" s="23">
        <v>45457</v>
      </c>
      <c r="P33" s="23"/>
      <c r="Q33" s="23">
        <v>45458</v>
      </c>
      <c r="R33" s="23"/>
      <c r="S33" s="23"/>
      <c r="T33" s="23"/>
      <c r="U33" s="23"/>
      <c r="V33" s="23"/>
      <c r="W33" s="25" t="str">
        <f t="shared" ca="1" si="9"/>
        <v/>
      </c>
      <c r="X33" s="26"/>
      <c r="Y33" s="27"/>
      <c r="Z33" s="28" t="str">
        <f t="shared" ca="1" si="10"/>
        <v/>
      </c>
      <c r="AA33" s="29"/>
      <c r="AB33" s="30"/>
      <c r="AC33" s="31"/>
      <c r="AD33" s="24" t="s">
        <v>4</v>
      </c>
      <c r="AE33" s="24"/>
    </row>
    <row r="34" spans="1:31">
      <c r="A34" s="24" t="s">
        <v>1</v>
      </c>
      <c r="B34" s="24"/>
      <c r="C34" s="20" t="s">
        <v>42</v>
      </c>
      <c r="D34" s="21"/>
      <c r="E34" s="20" t="s">
        <v>38</v>
      </c>
      <c r="F34" s="22"/>
      <c r="G34" s="22"/>
      <c r="H34" s="22"/>
      <c r="I34" s="22"/>
      <c r="J34" s="22"/>
      <c r="K34" s="22"/>
      <c r="L34" s="22"/>
      <c r="M34" s="22"/>
      <c r="N34" s="21"/>
      <c r="O34" s="23">
        <v>45459</v>
      </c>
      <c r="P34" s="23"/>
      <c r="Q34" s="23">
        <v>45463</v>
      </c>
      <c r="R34" s="23"/>
      <c r="S34" s="23"/>
      <c r="T34" s="23"/>
      <c r="U34" s="23"/>
      <c r="V34" s="23"/>
      <c r="W34" s="25" t="str">
        <f t="shared" ca="1" si="9"/>
        <v/>
      </c>
      <c r="X34" s="26"/>
      <c r="Y34" s="27"/>
      <c r="Z34" s="28" t="str">
        <f t="shared" ca="1" si="10"/>
        <v/>
      </c>
      <c r="AA34" s="29"/>
      <c r="AB34" s="30"/>
      <c r="AC34" s="31"/>
      <c r="AD34" s="24" t="s">
        <v>4</v>
      </c>
      <c r="AE34" s="24"/>
    </row>
    <row r="35" spans="1:31">
      <c r="A35" s="24" t="s">
        <v>1</v>
      </c>
      <c r="B35" s="21"/>
      <c r="C35" s="20" t="s">
        <v>42</v>
      </c>
      <c r="D35" s="21"/>
      <c r="E35" s="20" t="s">
        <v>36</v>
      </c>
      <c r="F35" s="22"/>
      <c r="G35" s="22"/>
      <c r="H35" s="22"/>
      <c r="I35" s="22"/>
      <c r="J35" s="22"/>
      <c r="K35" s="22"/>
      <c r="L35" s="22"/>
      <c r="M35" s="22"/>
      <c r="N35" s="21"/>
      <c r="O35" s="23">
        <v>45459</v>
      </c>
      <c r="P35" s="23"/>
      <c r="Q35" s="23">
        <v>45463</v>
      </c>
      <c r="R35" s="23"/>
      <c r="S35" s="23"/>
      <c r="T35" s="23"/>
      <c r="U35" s="23"/>
      <c r="V35" s="23"/>
      <c r="W35" s="25" t="str">
        <f t="shared" ca="1" si="9"/>
        <v/>
      </c>
      <c r="X35" s="26"/>
      <c r="Y35" s="27"/>
      <c r="Z35" s="28" t="str">
        <f t="shared" ca="1" si="10"/>
        <v/>
      </c>
      <c r="AA35" s="29"/>
      <c r="AB35" s="30"/>
      <c r="AC35" s="31"/>
      <c r="AD35" s="24" t="s">
        <v>4</v>
      </c>
      <c r="AE35" s="24"/>
    </row>
    <row r="36" spans="1:31">
      <c r="A36" s="20" t="s">
        <v>15</v>
      </c>
      <c r="B36" s="21"/>
      <c r="C36" s="20" t="s">
        <v>42</v>
      </c>
      <c r="D36" s="21"/>
      <c r="E36" s="20" t="s">
        <v>17</v>
      </c>
      <c r="F36" s="22"/>
      <c r="G36" s="22"/>
      <c r="H36" s="22"/>
      <c r="I36" s="22"/>
      <c r="J36" s="22"/>
      <c r="K36" s="22"/>
      <c r="L36" s="22"/>
      <c r="M36" s="22"/>
      <c r="N36" s="21"/>
      <c r="O36" s="23">
        <v>45464</v>
      </c>
      <c r="P36" s="23"/>
      <c r="Q36" s="23">
        <v>45465</v>
      </c>
      <c r="R36" s="23"/>
      <c r="S36" s="23"/>
      <c r="T36" s="23"/>
      <c r="U36" s="23"/>
      <c r="V36" s="23"/>
      <c r="W36" s="25" t="str">
        <f t="shared" ca="1" si="9"/>
        <v/>
      </c>
      <c r="X36" s="26"/>
      <c r="Y36" s="27"/>
      <c r="Z36" s="28" t="str">
        <f t="shared" ca="1" si="10"/>
        <v/>
      </c>
      <c r="AA36" s="29"/>
      <c r="AB36" s="30"/>
      <c r="AC36" s="31"/>
      <c r="AD36" s="24" t="s">
        <v>4</v>
      </c>
      <c r="AE36" s="24"/>
    </row>
    <row r="37" spans="1:31">
      <c r="A37" s="20" t="s">
        <v>15</v>
      </c>
      <c r="B37" s="21"/>
      <c r="C37" s="20" t="s">
        <v>42</v>
      </c>
      <c r="D37" s="21"/>
      <c r="E37" s="20" t="s">
        <v>19</v>
      </c>
      <c r="F37" s="22"/>
      <c r="G37" s="22"/>
      <c r="H37" s="22"/>
      <c r="I37" s="22"/>
      <c r="J37" s="22"/>
      <c r="K37" s="22"/>
      <c r="L37" s="22"/>
      <c r="M37" s="22"/>
      <c r="N37" s="21"/>
      <c r="O37" s="23">
        <v>45464</v>
      </c>
      <c r="P37" s="23"/>
      <c r="Q37" s="23">
        <v>45465</v>
      </c>
      <c r="R37" s="23"/>
      <c r="S37" s="23"/>
      <c r="T37" s="23"/>
      <c r="U37" s="23"/>
      <c r="V37" s="23"/>
      <c r="W37" s="25" t="str">
        <f t="shared" ca="1" si="9"/>
        <v/>
      </c>
      <c r="X37" s="26"/>
      <c r="Y37" s="27"/>
      <c r="Z37" s="28" t="str">
        <f t="shared" ca="1" si="10"/>
        <v/>
      </c>
      <c r="AA37" s="29"/>
      <c r="AB37" s="30"/>
      <c r="AC37" s="31"/>
      <c r="AD37" s="24" t="s">
        <v>4</v>
      </c>
      <c r="AE37" s="24"/>
    </row>
    <row r="38" spans="1:31">
      <c r="A38" s="20" t="s">
        <v>15</v>
      </c>
      <c r="B38" s="21"/>
      <c r="C38" s="20" t="s">
        <v>42</v>
      </c>
      <c r="D38" s="21"/>
      <c r="E38" s="20" t="s">
        <v>21</v>
      </c>
      <c r="F38" s="22"/>
      <c r="G38" s="22"/>
      <c r="H38" s="22"/>
      <c r="I38" s="22"/>
      <c r="J38" s="22"/>
      <c r="K38" s="22"/>
      <c r="L38" s="22"/>
      <c r="M38" s="22"/>
      <c r="N38" s="21"/>
      <c r="O38" s="23">
        <v>45466</v>
      </c>
      <c r="P38" s="23"/>
      <c r="Q38" s="23">
        <v>45470</v>
      </c>
      <c r="R38" s="23"/>
      <c r="S38" s="23"/>
      <c r="T38" s="23"/>
      <c r="U38" s="23"/>
      <c r="V38" s="23"/>
      <c r="W38" s="25" t="str">
        <f t="shared" ca="1" si="9"/>
        <v/>
      </c>
      <c r="X38" s="26"/>
      <c r="Y38" s="27"/>
      <c r="Z38" s="28" t="str">
        <f t="shared" ca="1" si="10"/>
        <v/>
      </c>
      <c r="AA38" s="29"/>
      <c r="AB38" s="30"/>
      <c r="AC38" s="31"/>
      <c r="AD38" s="24" t="s">
        <v>4</v>
      </c>
      <c r="AE38" s="24"/>
    </row>
    <row r="39" spans="1:31">
      <c r="A39" s="20" t="s">
        <v>15</v>
      </c>
      <c r="B39" s="21"/>
      <c r="C39" s="20" t="s">
        <v>42</v>
      </c>
      <c r="D39" s="21"/>
      <c r="E39" s="20" t="s">
        <v>23</v>
      </c>
      <c r="F39" s="22"/>
      <c r="G39" s="22"/>
      <c r="H39" s="22"/>
      <c r="I39" s="22"/>
      <c r="J39" s="22"/>
      <c r="K39" s="22"/>
      <c r="L39" s="22"/>
      <c r="M39" s="22"/>
      <c r="N39" s="21"/>
      <c r="O39" s="23">
        <v>45466</v>
      </c>
      <c r="P39" s="23"/>
      <c r="Q39" s="23">
        <v>45470</v>
      </c>
      <c r="R39" s="23"/>
      <c r="S39" s="23"/>
      <c r="T39" s="23"/>
      <c r="U39" s="23"/>
      <c r="V39" s="23"/>
      <c r="W39" s="25" t="str">
        <f t="shared" ca="1" si="9"/>
        <v/>
      </c>
      <c r="X39" s="26"/>
      <c r="Y39" s="27"/>
      <c r="Z39" s="28" t="str">
        <f t="shared" ca="1" si="10"/>
        <v/>
      </c>
      <c r="AA39" s="29"/>
      <c r="AB39" s="30"/>
      <c r="AC39" s="31"/>
      <c r="AD39" s="24" t="s">
        <v>4</v>
      </c>
      <c r="AE39" s="24"/>
    </row>
    <row r="40" spans="1:31">
      <c r="A40" s="20" t="s">
        <v>15</v>
      </c>
      <c r="B40" s="21"/>
      <c r="C40" s="20" t="s">
        <v>42</v>
      </c>
      <c r="D40" s="21"/>
      <c r="E40" s="20" t="s">
        <v>25</v>
      </c>
      <c r="F40" s="22"/>
      <c r="G40" s="22"/>
      <c r="H40" s="22"/>
      <c r="I40" s="22"/>
      <c r="J40" s="22"/>
      <c r="K40" s="22"/>
      <c r="L40" s="22"/>
      <c r="M40" s="22"/>
      <c r="N40" s="21"/>
      <c r="O40" s="23">
        <v>45471</v>
      </c>
      <c r="P40" s="23"/>
      <c r="Q40" s="23">
        <v>45472</v>
      </c>
      <c r="R40" s="23"/>
      <c r="S40" s="23"/>
      <c r="T40" s="23"/>
      <c r="U40" s="23"/>
      <c r="V40" s="23"/>
      <c r="W40" s="25" t="str">
        <f t="shared" ca="1" si="9"/>
        <v/>
      </c>
      <c r="X40" s="26"/>
      <c r="Y40" s="27"/>
      <c r="Z40" s="28" t="str">
        <f t="shared" ca="1" si="10"/>
        <v/>
      </c>
      <c r="AA40" s="29"/>
      <c r="AB40" s="30"/>
      <c r="AC40" s="31"/>
      <c r="AD40" s="24" t="s">
        <v>4</v>
      </c>
      <c r="AE40" s="24"/>
    </row>
    <row r="41" spans="1:31">
      <c r="A41" s="20" t="s">
        <v>15</v>
      </c>
      <c r="B41" s="21"/>
      <c r="C41" s="20" t="s">
        <v>42</v>
      </c>
      <c r="D41" s="21"/>
      <c r="E41" s="20" t="s">
        <v>34</v>
      </c>
      <c r="F41" s="22"/>
      <c r="G41" s="22"/>
      <c r="H41" s="22"/>
      <c r="I41" s="22"/>
      <c r="J41" s="22"/>
      <c r="K41" s="22"/>
      <c r="L41" s="22"/>
      <c r="M41" s="22"/>
      <c r="N41" s="21"/>
      <c r="O41" s="23">
        <v>45471</v>
      </c>
      <c r="P41" s="23"/>
      <c r="Q41" s="23">
        <v>45472</v>
      </c>
      <c r="R41" s="23"/>
      <c r="S41" s="23"/>
      <c r="T41" s="23"/>
      <c r="U41" s="23"/>
      <c r="V41" s="23"/>
      <c r="W41" s="25" t="str">
        <f t="shared" ca="1" si="9"/>
        <v/>
      </c>
      <c r="X41" s="26"/>
      <c r="Y41" s="27"/>
      <c r="Z41" s="28" t="str">
        <f t="shared" ca="1" si="10"/>
        <v/>
      </c>
      <c r="AA41" s="29"/>
      <c r="AB41" s="30"/>
      <c r="AC41" s="31"/>
      <c r="AD41" s="24" t="s">
        <v>4</v>
      </c>
      <c r="AE41" s="24"/>
    </row>
    <row r="42" spans="1:31">
      <c r="A42" s="20" t="s">
        <v>15</v>
      </c>
      <c r="B42" s="21"/>
      <c r="C42" s="20" t="s">
        <v>42</v>
      </c>
      <c r="D42" s="21"/>
      <c r="E42" s="20" t="s">
        <v>29</v>
      </c>
      <c r="F42" s="22"/>
      <c r="G42" s="22"/>
      <c r="H42" s="22"/>
      <c r="I42" s="22"/>
      <c r="J42" s="22"/>
      <c r="K42" s="22"/>
      <c r="L42" s="22"/>
      <c r="M42" s="22"/>
      <c r="N42" s="21"/>
      <c r="O42" s="23">
        <v>45473</v>
      </c>
      <c r="P42" s="23"/>
      <c r="Q42" s="23">
        <v>45477</v>
      </c>
      <c r="R42" s="23"/>
      <c r="S42" s="23"/>
      <c r="T42" s="23"/>
      <c r="U42" s="23"/>
      <c r="V42" s="23"/>
      <c r="W42" s="25" t="str">
        <f t="shared" ca="1" si="9"/>
        <v/>
      </c>
      <c r="X42" s="26"/>
      <c r="Y42" s="27"/>
      <c r="Z42" s="28" t="str">
        <f t="shared" ca="1" si="10"/>
        <v/>
      </c>
      <c r="AA42" s="29"/>
      <c r="AB42" s="30"/>
      <c r="AC42" s="31"/>
      <c r="AD42" s="24" t="s">
        <v>4</v>
      </c>
      <c r="AE42" s="24"/>
    </row>
    <row r="43" spans="1:31">
      <c r="A43" s="20" t="s">
        <v>15</v>
      </c>
      <c r="B43" s="21"/>
      <c r="C43" s="20" t="s">
        <v>42</v>
      </c>
      <c r="D43" s="21"/>
      <c r="E43" s="20" t="s">
        <v>27</v>
      </c>
      <c r="F43" s="22"/>
      <c r="G43" s="22"/>
      <c r="H43" s="22"/>
      <c r="I43" s="22"/>
      <c r="J43" s="22"/>
      <c r="K43" s="22"/>
      <c r="L43" s="22"/>
      <c r="M43" s="22"/>
      <c r="N43" s="21"/>
      <c r="O43" s="23">
        <v>45473</v>
      </c>
      <c r="P43" s="23"/>
      <c r="Q43" s="23">
        <v>45477</v>
      </c>
      <c r="R43" s="23"/>
      <c r="S43" s="23"/>
      <c r="T43" s="23"/>
      <c r="U43" s="23"/>
      <c r="V43" s="23"/>
      <c r="W43" s="25" t="str">
        <f t="shared" ca="1" si="9"/>
        <v/>
      </c>
      <c r="X43" s="26"/>
      <c r="Y43" s="27"/>
      <c r="Z43" s="28" t="str">
        <f t="shared" ca="1" si="10"/>
        <v/>
      </c>
      <c r="AA43" s="29"/>
      <c r="AB43" s="30"/>
      <c r="AC43" s="31"/>
      <c r="AD43" s="24" t="s">
        <v>4</v>
      </c>
      <c r="AE43" s="24"/>
    </row>
    <row r="44" spans="1:31">
      <c r="A44" s="20" t="s">
        <v>15</v>
      </c>
      <c r="B44" s="21"/>
      <c r="C44" s="20" t="s">
        <v>42</v>
      </c>
      <c r="D44" s="21"/>
      <c r="E44" s="20" t="s">
        <v>38</v>
      </c>
      <c r="F44" s="22"/>
      <c r="G44" s="22"/>
      <c r="H44" s="22"/>
      <c r="I44" s="22"/>
      <c r="J44" s="22"/>
      <c r="K44" s="22"/>
      <c r="L44" s="22"/>
      <c r="M44" s="22"/>
      <c r="N44" s="21"/>
      <c r="O44" s="23">
        <v>45478</v>
      </c>
      <c r="P44" s="23"/>
      <c r="Q44" s="23">
        <v>45479</v>
      </c>
      <c r="R44" s="23"/>
      <c r="S44" s="23"/>
      <c r="T44" s="23"/>
      <c r="U44" s="23"/>
      <c r="V44" s="23"/>
      <c r="W44" s="25" t="str">
        <f t="shared" ca="1" si="9"/>
        <v/>
      </c>
      <c r="X44" s="26"/>
      <c r="Y44" s="27"/>
      <c r="Z44" s="28" t="str">
        <f t="shared" ca="1" si="10"/>
        <v/>
      </c>
      <c r="AA44" s="29"/>
      <c r="AB44" s="30"/>
      <c r="AC44" s="31"/>
      <c r="AD44" s="24" t="s">
        <v>4</v>
      </c>
      <c r="AE44" s="24"/>
    </row>
    <row r="45" spans="1:31">
      <c r="A45" s="20" t="s">
        <v>15</v>
      </c>
      <c r="B45" s="21"/>
      <c r="C45" s="20" t="s">
        <v>42</v>
      </c>
      <c r="D45" s="21"/>
      <c r="E45" s="20" t="s">
        <v>36</v>
      </c>
      <c r="F45" s="22"/>
      <c r="G45" s="22"/>
      <c r="H45" s="22"/>
      <c r="I45" s="22"/>
      <c r="J45" s="22"/>
      <c r="K45" s="22"/>
      <c r="L45" s="22"/>
      <c r="M45" s="22"/>
      <c r="N45" s="21"/>
      <c r="O45" s="23">
        <v>45478</v>
      </c>
      <c r="P45" s="23"/>
      <c r="Q45" s="23">
        <v>45479</v>
      </c>
      <c r="R45" s="23"/>
      <c r="S45" s="23"/>
      <c r="T45" s="23"/>
      <c r="U45" s="23"/>
      <c r="V45" s="23"/>
      <c r="W45" s="25" t="str">
        <f t="shared" ca="1" si="9"/>
        <v/>
      </c>
      <c r="X45" s="26"/>
      <c r="Y45" s="27"/>
      <c r="Z45" s="28" t="str">
        <f t="shared" ca="1" si="10"/>
        <v/>
      </c>
      <c r="AA45" s="29"/>
      <c r="AB45" s="30"/>
      <c r="AC45" s="31"/>
      <c r="AD45" s="24" t="s">
        <v>4</v>
      </c>
      <c r="AE45" s="24"/>
    </row>
    <row r="46" spans="1:31">
      <c r="A46" s="24" t="s">
        <v>1</v>
      </c>
      <c r="B46" s="21"/>
      <c r="C46" s="20" t="s">
        <v>42</v>
      </c>
      <c r="D46" s="21"/>
      <c r="E46" s="20" t="s">
        <v>46</v>
      </c>
      <c r="F46" s="22"/>
      <c r="G46" s="22"/>
      <c r="H46" s="22"/>
      <c r="I46" s="22"/>
      <c r="J46" s="22"/>
      <c r="K46" s="22"/>
      <c r="L46" s="22"/>
      <c r="M46" s="22"/>
      <c r="N46" s="21"/>
      <c r="O46" s="23">
        <v>45480</v>
      </c>
      <c r="P46" s="23"/>
      <c r="Q46" s="23">
        <v>45491</v>
      </c>
      <c r="R46" s="23"/>
      <c r="S46" s="23"/>
      <c r="T46" s="23"/>
      <c r="U46" s="23"/>
      <c r="V46" s="23"/>
      <c r="W46" s="25" t="str">
        <f t="shared" ca="1" si="9"/>
        <v/>
      </c>
      <c r="X46" s="26"/>
      <c r="Y46" s="27"/>
      <c r="Z46" s="28" t="str">
        <f t="shared" ca="1" si="10"/>
        <v/>
      </c>
      <c r="AA46" s="29"/>
      <c r="AB46" s="30"/>
      <c r="AC46" s="31"/>
      <c r="AD46" s="24" t="s">
        <v>4</v>
      </c>
      <c r="AE46" s="24"/>
    </row>
    <row r="47" spans="1:31">
      <c r="A47" s="20" t="s">
        <v>15</v>
      </c>
      <c r="B47" s="21"/>
      <c r="C47" s="20" t="s">
        <v>42</v>
      </c>
      <c r="D47" s="21"/>
      <c r="E47" s="20" t="s">
        <v>46</v>
      </c>
      <c r="F47" s="22"/>
      <c r="G47" s="22"/>
      <c r="H47" s="22"/>
      <c r="I47" s="22"/>
      <c r="J47" s="22"/>
      <c r="K47" s="22"/>
      <c r="L47" s="22"/>
      <c r="M47" s="22"/>
      <c r="N47" s="21"/>
      <c r="O47" s="23">
        <v>45492</v>
      </c>
      <c r="P47" s="23"/>
      <c r="Q47" s="23">
        <v>45504</v>
      </c>
      <c r="R47" s="23"/>
      <c r="S47" s="23"/>
      <c r="T47" s="23"/>
      <c r="U47" s="23"/>
      <c r="V47" s="23"/>
      <c r="W47" s="25" t="str">
        <f t="shared" ca="1" si="9"/>
        <v/>
      </c>
      <c r="X47" s="26"/>
      <c r="Y47" s="27"/>
      <c r="Z47" s="28" t="str">
        <f t="shared" ca="1" si="10"/>
        <v/>
      </c>
      <c r="AA47" s="29"/>
      <c r="AB47" s="30"/>
      <c r="AC47" s="31"/>
      <c r="AD47" s="24" t="s">
        <v>4</v>
      </c>
      <c r="AE47" s="24"/>
    </row>
  </sheetData>
  <mergeCells count="498">
    <mergeCell ref="W5:Y5"/>
    <mergeCell ref="Z5:AA5"/>
    <mergeCell ref="AB5:AC5"/>
    <mergeCell ref="AD5:AE5"/>
    <mergeCell ref="Z6:AA6"/>
    <mergeCell ref="W2:Y3"/>
    <mergeCell ref="Z2:AC2"/>
    <mergeCell ref="AD2:AE3"/>
    <mergeCell ref="AB3:AC3"/>
    <mergeCell ref="Z3:AA3"/>
    <mergeCell ref="A4:B4"/>
    <mergeCell ref="S4:T4"/>
    <mergeCell ref="U4:V4"/>
    <mergeCell ref="AD4:AE4"/>
    <mergeCell ref="A2:B3"/>
    <mergeCell ref="E2:N3"/>
    <mergeCell ref="O2:P3"/>
    <mergeCell ref="Q2:R3"/>
    <mergeCell ref="S2:T3"/>
    <mergeCell ref="U2:V3"/>
    <mergeCell ref="Z4:AA4"/>
    <mergeCell ref="AB4:AC4"/>
    <mergeCell ref="A17:B17"/>
    <mergeCell ref="A18:B18"/>
    <mergeCell ref="A19:B19"/>
    <mergeCell ref="E4:N4"/>
    <mergeCell ref="O4:P4"/>
    <mergeCell ref="Q4:R4"/>
    <mergeCell ref="E8:N8"/>
    <mergeCell ref="E9:N9"/>
    <mergeCell ref="E10:N10"/>
    <mergeCell ref="E11:N11"/>
    <mergeCell ref="A11:B11"/>
    <mergeCell ref="A12:B12"/>
    <mergeCell ref="A13:B13"/>
    <mergeCell ref="A14:B14"/>
    <mergeCell ref="A15:B15"/>
    <mergeCell ref="A16:B16"/>
    <mergeCell ref="A5:B5"/>
    <mergeCell ref="A6:B6"/>
    <mergeCell ref="A7:B7"/>
    <mergeCell ref="A8:B8"/>
    <mergeCell ref="E18:N18"/>
    <mergeCell ref="E19:N19"/>
    <mergeCell ref="A9:B9"/>
    <mergeCell ref="A10:B10"/>
    <mergeCell ref="E20:N20"/>
    <mergeCell ref="E21:N21"/>
    <mergeCell ref="E22:N22"/>
    <mergeCell ref="W4:Y4"/>
    <mergeCell ref="O5:P5"/>
    <mergeCell ref="Q5:R5"/>
    <mergeCell ref="S5:T5"/>
    <mergeCell ref="U5:V5"/>
    <mergeCell ref="E12:N12"/>
    <mergeCell ref="E13:N13"/>
    <mergeCell ref="E14:N14"/>
    <mergeCell ref="E15:N15"/>
    <mergeCell ref="E16:N16"/>
    <mergeCell ref="E17:N17"/>
    <mergeCell ref="E5:N5"/>
    <mergeCell ref="E6:N6"/>
    <mergeCell ref="E7:N7"/>
    <mergeCell ref="O6:P6"/>
    <mergeCell ref="Q6:R6"/>
    <mergeCell ref="S6:T6"/>
    <mergeCell ref="U6:V6"/>
    <mergeCell ref="W6:Y6"/>
    <mergeCell ref="U20:V20"/>
    <mergeCell ref="W20:Y20"/>
    <mergeCell ref="AB6:AC6"/>
    <mergeCell ref="AD6:AE6"/>
    <mergeCell ref="AB7:AC7"/>
    <mergeCell ref="AD7:AE7"/>
    <mergeCell ref="O8:P8"/>
    <mergeCell ref="Q8:R8"/>
    <mergeCell ref="S8:T8"/>
    <mergeCell ref="U8:V8"/>
    <mergeCell ref="W8:Y8"/>
    <mergeCell ref="Z8:AA8"/>
    <mergeCell ref="AB8:AC8"/>
    <mergeCell ref="AD8:AE8"/>
    <mergeCell ref="O7:P7"/>
    <mergeCell ref="Q7:R7"/>
    <mergeCell ref="S7:T7"/>
    <mergeCell ref="U7:V7"/>
    <mergeCell ref="W7:Y7"/>
    <mergeCell ref="Z7:AA7"/>
    <mergeCell ref="AB9:AC9"/>
    <mergeCell ref="AD9:AE9"/>
    <mergeCell ref="O10:P10"/>
    <mergeCell ref="Q10:R10"/>
    <mergeCell ref="S10:T10"/>
    <mergeCell ref="U10:V10"/>
    <mergeCell ref="W10:Y10"/>
    <mergeCell ref="Z10:AA10"/>
    <mergeCell ref="AB10:AC10"/>
    <mergeCell ref="AD10:AE10"/>
    <mergeCell ref="O9:P9"/>
    <mergeCell ref="Q9:R9"/>
    <mergeCell ref="S9:T9"/>
    <mergeCell ref="U9:V9"/>
    <mergeCell ref="W9:Y9"/>
    <mergeCell ref="Z9:AA9"/>
    <mergeCell ref="AB11:AC11"/>
    <mergeCell ref="AD11:AE11"/>
    <mergeCell ref="O12:P12"/>
    <mergeCell ref="Q12:R12"/>
    <mergeCell ref="S12:T12"/>
    <mergeCell ref="U12:V12"/>
    <mergeCell ref="W12:Y12"/>
    <mergeCell ref="Z12:AA12"/>
    <mergeCell ref="AB12:AC12"/>
    <mergeCell ref="AD12:AE12"/>
    <mergeCell ref="O11:P11"/>
    <mergeCell ref="Q11:R11"/>
    <mergeCell ref="S11:T11"/>
    <mergeCell ref="U11:V11"/>
    <mergeCell ref="W11:Y11"/>
    <mergeCell ref="Z11:AA11"/>
    <mergeCell ref="AB13:AC13"/>
    <mergeCell ref="AD13:AE13"/>
    <mergeCell ref="O14:P14"/>
    <mergeCell ref="Q14:R14"/>
    <mergeCell ref="S14:T14"/>
    <mergeCell ref="U14:V14"/>
    <mergeCell ref="W14:Y14"/>
    <mergeCell ref="Z14:AA14"/>
    <mergeCell ref="AB14:AC14"/>
    <mergeCell ref="AD14:AE14"/>
    <mergeCell ref="O13:P13"/>
    <mergeCell ref="Q13:R13"/>
    <mergeCell ref="S13:T13"/>
    <mergeCell ref="U13:V13"/>
    <mergeCell ref="W13:Y13"/>
    <mergeCell ref="Z13:AA13"/>
    <mergeCell ref="AB15:AC15"/>
    <mergeCell ref="AD15:AE15"/>
    <mergeCell ref="O16:P16"/>
    <mergeCell ref="Q16:R16"/>
    <mergeCell ref="S16:T16"/>
    <mergeCell ref="U16:V16"/>
    <mergeCell ref="W16:Y16"/>
    <mergeCell ref="Z16:AA16"/>
    <mergeCell ref="AB16:AC16"/>
    <mergeCell ref="AD16:AE16"/>
    <mergeCell ref="O15:P15"/>
    <mergeCell ref="Q15:R15"/>
    <mergeCell ref="S15:T15"/>
    <mergeCell ref="U15:V15"/>
    <mergeCell ref="W15:Y15"/>
    <mergeCell ref="Z15:AA15"/>
    <mergeCell ref="AD17:AE17"/>
    <mergeCell ref="O18:P18"/>
    <mergeCell ref="Q18:R18"/>
    <mergeCell ref="S18:T18"/>
    <mergeCell ref="U18:V18"/>
    <mergeCell ref="W18:Y18"/>
    <mergeCell ref="Z18:AA18"/>
    <mergeCell ref="AB18:AC18"/>
    <mergeCell ref="AD18:AE18"/>
    <mergeCell ref="O17:P17"/>
    <mergeCell ref="Q17:R17"/>
    <mergeCell ref="S17:T17"/>
    <mergeCell ref="U17:V17"/>
    <mergeCell ref="W17:Y17"/>
    <mergeCell ref="Z17:AA17"/>
    <mergeCell ref="Z1:AA1"/>
    <mergeCell ref="E23:N23"/>
    <mergeCell ref="A23:B23"/>
    <mergeCell ref="O23:P23"/>
    <mergeCell ref="Q23:R23"/>
    <mergeCell ref="S23:T23"/>
    <mergeCell ref="U23:V23"/>
    <mergeCell ref="W23:Y23"/>
    <mergeCell ref="Z23:AA23"/>
    <mergeCell ref="A20:B20"/>
    <mergeCell ref="A21:B21"/>
    <mergeCell ref="A22:B22"/>
    <mergeCell ref="W1:Y1"/>
    <mergeCell ref="C11:D11"/>
    <mergeCell ref="C12:D12"/>
    <mergeCell ref="C13:D13"/>
    <mergeCell ref="C14:D14"/>
    <mergeCell ref="O22:P22"/>
    <mergeCell ref="Q22:R22"/>
    <mergeCell ref="S22:T22"/>
    <mergeCell ref="U22:V22"/>
    <mergeCell ref="W22:Y22"/>
    <mergeCell ref="Z22:AA22"/>
    <mergeCell ref="O21:P21"/>
    <mergeCell ref="C2:D3"/>
    <mergeCell ref="C4:D4"/>
    <mergeCell ref="C5:D5"/>
    <mergeCell ref="C6:D6"/>
    <mergeCell ref="C7:D7"/>
    <mergeCell ref="C8:D8"/>
    <mergeCell ref="C9:D9"/>
    <mergeCell ref="C10:D10"/>
    <mergeCell ref="AB21:AC21"/>
    <mergeCell ref="Q21:R21"/>
    <mergeCell ref="S21:T21"/>
    <mergeCell ref="U21:V21"/>
    <mergeCell ref="W21:Y21"/>
    <mergeCell ref="Z21:AA21"/>
    <mergeCell ref="AB19:AC19"/>
    <mergeCell ref="O20:P20"/>
    <mergeCell ref="Q20:R20"/>
    <mergeCell ref="S20:T20"/>
    <mergeCell ref="Z20:AA20"/>
    <mergeCell ref="AB20:AC20"/>
    <mergeCell ref="O19:P19"/>
    <mergeCell ref="Q19:R19"/>
    <mergeCell ref="S19:T19"/>
    <mergeCell ref="U19:V19"/>
    <mergeCell ref="AB25:AC25"/>
    <mergeCell ref="AD25:AE25"/>
    <mergeCell ref="A24:B24"/>
    <mergeCell ref="C24:D24"/>
    <mergeCell ref="E24:N24"/>
    <mergeCell ref="C21:D21"/>
    <mergeCell ref="C22:D22"/>
    <mergeCell ref="C23:D23"/>
    <mergeCell ref="C15:D15"/>
    <mergeCell ref="C16:D16"/>
    <mergeCell ref="C17:D17"/>
    <mergeCell ref="C18:D18"/>
    <mergeCell ref="C19:D19"/>
    <mergeCell ref="C20:D20"/>
    <mergeCell ref="AB23:AC23"/>
    <mergeCell ref="AD23:AE23"/>
    <mergeCell ref="AD21:AE21"/>
    <mergeCell ref="AB22:AC22"/>
    <mergeCell ref="AD22:AE22"/>
    <mergeCell ref="AD19:AE19"/>
    <mergeCell ref="AD20:AE20"/>
    <mergeCell ref="W19:Y19"/>
    <mergeCell ref="Z19:AA19"/>
    <mergeCell ref="AB17:AC17"/>
    <mergeCell ref="A28:B28"/>
    <mergeCell ref="C28:D28"/>
    <mergeCell ref="E28:N28"/>
    <mergeCell ref="O28:P28"/>
    <mergeCell ref="Q28:R28"/>
    <mergeCell ref="S28:T28"/>
    <mergeCell ref="U28:V28"/>
    <mergeCell ref="AB24:AC24"/>
    <mergeCell ref="AD24:AE24"/>
    <mergeCell ref="A25:B25"/>
    <mergeCell ref="C25:D25"/>
    <mergeCell ref="E25:N25"/>
    <mergeCell ref="O25:P25"/>
    <mergeCell ref="Q25:R25"/>
    <mergeCell ref="S25:T25"/>
    <mergeCell ref="U25:V25"/>
    <mergeCell ref="W25:Y25"/>
    <mergeCell ref="O24:P24"/>
    <mergeCell ref="Q24:R24"/>
    <mergeCell ref="S24:T24"/>
    <mergeCell ref="U24:V24"/>
    <mergeCell ref="W24:Y24"/>
    <mergeCell ref="Z24:AA24"/>
    <mergeCell ref="Z25:AA25"/>
    <mergeCell ref="W26:Y26"/>
    <mergeCell ref="Z26:AA26"/>
    <mergeCell ref="AB26:AC26"/>
    <mergeCell ref="AD26:AE26"/>
    <mergeCell ref="A27:B27"/>
    <mergeCell ref="C27:D27"/>
    <mergeCell ref="E27:N27"/>
    <mergeCell ref="O27:P27"/>
    <mergeCell ref="Q27:R27"/>
    <mergeCell ref="S27:T27"/>
    <mergeCell ref="A26:B26"/>
    <mergeCell ref="C26:D26"/>
    <mergeCell ref="E26:N26"/>
    <mergeCell ref="O26:P26"/>
    <mergeCell ref="Q26:R26"/>
    <mergeCell ref="S26:T26"/>
    <mergeCell ref="U26:V26"/>
    <mergeCell ref="W28:Y28"/>
    <mergeCell ref="Z28:AA28"/>
    <mergeCell ref="AB28:AC28"/>
    <mergeCell ref="AD28:AE28"/>
    <mergeCell ref="U27:V27"/>
    <mergeCell ref="W27:Y27"/>
    <mergeCell ref="Z27:AA27"/>
    <mergeCell ref="AB27:AC27"/>
    <mergeCell ref="AD27:AE27"/>
    <mergeCell ref="S29:T29"/>
    <mergeCell ref="U29:V29"/>
    <mergeCell ref="W29:Y29"/>
    <mergeCell ref="Z29:AA29"/>
    <mergeCell ref="AB29:AC29"/>
    <mergeCell ref="AD29:AE29"/>
    <mergeCell ref="A29:B29"/>
    <mergeCell ref="C29:D29"/>
    <mergeCell ref="E29:N29"/>
    <mergeCell ref="O29:P29"/>
    <mergeCell ref="Q29:R29"/>
    <mergeCell ref="A31:B31"/>
    <mergeCell ref="C31:D31"/>
    <mergeCell ref="E31:N31"/>
    <mergeCell ref="O31:P31"/>
    <mergeCell ref="Q31:R31"/>
    <mergeCell ref="A30:B30"/>
    <mergeCell ref="C30:D30"/>
    <mergeCell ref="E30:N30"/>
    <mergeCell ref="O30:P30"/>
    <mergeCell ref="Q30:R30"/>
    <mergeCell ref="S31:T31"/>
    <mergeCell ref="U31:V31"/>
    <mergeCell ref="W31:Y31"/>
    <mergeCell ref="Z31:AA31"/>
    <mergeCell ref="AB31:AC31"/>
    <mergeCell ref="AD31:AE31"/>
    <mergeCell ref="U30:V30"/>
    <mergeCell ref="W30:Y30"/>
    <mergeCell ref="Z30:AA30"/>
    <mergeCell ref="AB30:AC30"/>
    <mergeCell ref="AD30:AE30"/>
    <mergeCell ref="S30:T30"/>
    <mergeCell ref="A33:B33"/>
    <mergeCell ref="C33:D33"/>
    <mergeCell ref="E33:N33"/>
    <mergeCell ref="O33:P33"/>
    <mergeCell ref="Q33:R33"/>
    <mergeCell ref="A32:B32"/>
    <mergeCell ref="C32:D32"/>
    <mergeCell ref="E32:N32"/>
    <mergeCell ref="O32:P32"/>
    <mergeCell ref="Q32:R32"/>
    <mergeCell ref="S33:T33"/>
    <mergeCell ref="U33:V33"/>
    <mergeCell ref="W33:Y33"/>
    <mergeCell ref="Z33:AA33"/>
    <mergeCell ref="AB33:AC33"/>
    <mergeCell ref="AD33:AE33"/>
    <mergeCell ref="U32:V32"/>
    <mergeCell ref="W32:Y32"/>
    <mergeCell ref="Z32:AA32"/>
    <mergeCell ref="AB32:AC32"/>
    <mergeCell ref="AD32:AE32"/>
    <mergeCell ref="S32:T32"/>
    <mergeCell ref="A35:B35"/>
    <mergeCell ref="C35:D35"/>
    <mergeCell ref="E35:N35"/>
    <mergeCell ref="O35:P35"/>
    <mergeCell ref="Q35:R35"/>
    <mergeCell ref="A34:B34"/>
    <mergeCell ref="C34:D34"/>
    <mergeCell ref="E34:N34"/>
    <mergeCell ref="O34:P34"/>
    <mergeCell ref="Q34:R34"/>
    <mergeCell ref="S35:T35"/>
    <mergeCell ref="U35:V35"/>
    <mergeCell ref="W35:Y35"/>
    <mergeCell ref="Z35:AA35"/>
    <mergeCell ref="AB35:AC35"/>
    <mergeCell ref="AD35:AE35"/>
    <mergeCell ref="U34:V34"/>
    <mergeCell ref="W34:Y34"/>
    <mergeCell ref="Z34:AA34"/>
    <mergeCell ref="AB34:AC34"/>
    <mergeCell ref="AD34:AE34"/>
    <mergeCell ref="S34:T34"/>
    <mergeCell ref="A37:B37"/>
    <mergeCell ref="C37:D37"/>
    <mergeCell ref="E37:N37"/>
    <mergeCell ref="O37:P37"/>
    <mergeCell ref="Q37:R37"/>
    <mergeCell ref="A36:B36"/>
    <mergeCell ref="C36:D36"/>
    <mergeCell ref="E36:N36"/>
    <mergeCell ref="O36:P36"/>
    <mergeCell ref="Q36:R36"/>
    <mergeCell ref="S37:T37"/>
    <mergeCell ref="U37:V37"/>
    <mergeCell ref="W37:Y37"/>
    <mergeCell ref="Z37:AA37"/>
    <mergeCell ref="AB37:AC37"/>
    <mergeCell ref="AD37:AE37"/>
    <mergeCell ref="U36:V36"/>
    <mergeCell ref="W36:Y36"/>
    <mergeCell ref="Z36:AA36"/>
    <mergeCell ref="AB36:AC36"/>
    <mergeCell ref="AD36:AE36"/>
    <mergeCell ref="S36:T36"/>
    <mergeCell ref="A39:B39"/>
    <mergeCell ref="C39:D39"/>
    <mergeCell ref="E39:N39"/>
    <mergeCell ref="O39:P39"/>
    <mergeCell ref="Q39:R39"/>
    <mergeCell ref="A38:B38"/>
    <mergeCell ref="C38:D38"/>
    <mergeCell ref="E38:N38"/>
    <mergeCell ref="O38:P38"/>
    <mergeCell ref="Q38:R38"/>
    <mergeCell ref="S39:T39"/>
    <mergeCell ref="U39:V39"/>
    <mergeCell ref="W39:Y39"/>
    <mergeCell ref="Z39:AA39"/>
    <mergeCell ref="AB39:AC39"/>
    <mergeCell ref="AD39:AE39"/>
    <mergeCell ref="U38:V38"/>
    <mergeCell ref="W38:Y38"/>
    <mergeCell ref="Z38:AA38"/>
    <mergeCell ref="AB38:AC38"/>
    <mergeCell ref="AD38:AE38"/>
    <mergeCell ref="S38:T38"/>
    <mergeCell ref="A41:B41"/>
    <mergeCell ref="C41:D41"/>
    <mergeCell ref="E41:N41"/>
    <mergeCell ref="O41:P41"/>
    <mergeCell ref="Q41:R41"/>
    <mergeCell ref="A40:B40"/>
    <mergeCell ref="C40:D40"/>
    <mergeCell ref="E40:N40"/>
    <mergeCell ref="O40:P40"/>
    <mergeCell ref="Q40:R40"/>
    <mergeCell ref="S41:T41"/>
    <mergeCell ref="U41:V41"/>
    <mergeCell ref="W41:Y41"/>
    <mergeCell ref="Z41:AA41"/>
    <mergeCell ref="AB41:AC41"/>
    <mergeCell ref="AD41:AE41"/>
    <mergeCell ref="U40:V40"/>
    <mergeCell ref="W40:Y40"/>
    <mergeCell ref="Z40:AA40"/>
    <mergeCell ref="AB40:AC40"/>
    <mergeCell ref="AD40:AE40"/>
    <mergeCell ref="S40:T40"/>
    <mergeCell ref="A43:B43"/>
    <mergeCell ref="C43:D43"/>
    <mergeCell ref="E43:N43"/>
    <mergeCell ref="O43:P43"/>
    <mergeCell ref="Q43:R43"/>
    <mergeCell ref="A42:B42"/>
    <mergeCell ref="C42:D42"/>
    <mergeCell ref="E42:N42"/>
    <mergeCell ref="O42:P42"/>
    <mergeCell ref="Q42:R42"/>
    <mergeCell ref="S43:T43"/>
    <mergeCell ref="U43:V43"/>
    <mergeCell ref="W43:Y43"/>
    <mergeCell ref="Z43:AA43"/>
    <mergeCell ref="AB43:AC43"/>
    <mergeCell ref="AD43:AE43"/>
    <mergeCell ref="U42:V42"/>
    <mergeCell ref="W42:Y42"/>
    <mergeCell ref="Z42:AA42"/>
    <mergeCell ref="AB42:AC42"/>
    <mergeCell ref="AD42:AE42"/>
    <mergeCell ref="S42:T42"/>
    <mergeCell ref="A45:B45"/>
    <mergeCell ref="C45:D45"/>
    <mergeCell ref="E45:N45"/>
    <mergeCell ref="O45:P45"/>
    <mergeCell ref="Q45:R45"/>
    <mergeCell ref="A44:B44"/>
    <mergeCell ref="C44:D44"/>
    <mergeCell ref="E44:N44"/>
    <mergeCell ref="O44:P44"/>
    <mergeCell ref="Q44:R44"/>
    <mergeCell ref="S45:T45"/>
    <mergeCell ref="U45:V45"/>
    <mergeCell ref="W45:Y45"/>
    <mergeCell ref="Z45:AA45"/>
    <mergeCell ref="AB45:AC45"/>
    <mergeCell ref="AD45:AE45"/>
    <mergeCell ref="U44:V44"/>
    <mergeCell ref="W44:Y44"/>
    <mergeCell ref="Z44:AA44"/>
    <mergeCell ref="AB44:AC44"/>
    <mergeCell ref="AD44:AE44"/>
    <mergeCell ref="S44:T44"/>
    <mergeCell ref="S47:T47"/>
    <mergeCell ref="U47:V47"/>
    <mergeCell ref="W47:Y47"/>
    <mergeCell ref="Z47:AA47"/>
    <mergeCell ref="AB47:AC47"/>
    <mergeCell ref="AD47:AE47"/>
    <mergeCell ref="U46:V46"/>
    <mergeCell ref="W46:Y46"/>
    <mergeCell ref="Z46:AA46"/>
    <mergeCell ref="AB46:AC46"/>
    <mergeCell ref="AD46:AE46"/>
    <mergeCell ref="S46:T46"/>
    <mergeCell ref="A47:B47"/>
    <mergeCell ref="C47:D47"/>
    <mergeCell ref="E47:N47"/>
    <mergeCell ref="O47:P47"/>
    <mergeCell ref="Q47:R47"/>
    <mergeCell ref="A46:B46"/>
    <mergeCell ref="C46:D46"/>
    <mergeCell ref="E46:N46"/>
    <mergeCell ref="O46:P46"/>
    <mergeCell ref="Q46:R46"/>
  </mergeCells>
  <phoneticPr fontId="1" type="noConversion"/>
  <conditionalFormatting sqref="AG2:GC2">
    <cfRule type="expression" dxfId="3" priority="5">
      <formula>MONTH(AF2)=MONTH(AG2)</formula>
    </cfRule>
  </conditionalFormatting>
  <conditionalFormatting sqref="AG3:GC4998">
    <cfRule type="expression" dxfId="2" priority="4">
      <formula>OR(WEEKDAY(AG$3)=6,WEEKDAY(AG$3)=7)</formula>
    </cfRule>
  </conditionalFormatting>
  <conditionalFormatting sqref="AG1:GC1048576">
    <cfRule type="expression" dxfId="1" priority="3">
      <formula>TODAY()=AG$3</formula>
    </cfRule>
  </conditionalFormatting>
  <conditionalFormatting sqref="AG4:GC4998">
    <cfRule type="expression" dxfId="0" priority="1">
      <formula>AND($O4&lt;=AG$3,$Q4&gt;=AG$3)</formula>
    </cfRule>
  </conditionalFormatting>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19ACA38-F96B-2643-9E4D-19AAA0FC0FFF}">
          <x14:formula1>
            <xm:f>'0.List'!$A$2:$A$3</xm:f>
          </x14:formula1>
          <xm:sqref>A4:B47</xm:sqref>
        </x14:dataValidation>
        <x14:dataValidation type="list" allowBlank="1" showInputMessage="1" showErrorMessage="1" xr:uid="{0AB1AD4B-9C4E-5E4C-8BDA-5A0ADD60787B}">
          <x14:formula1>
            <xm:f>'0.List'!$D$2</xm:f>
          </x14:formula1>
          <xm:sqref>AD4:AE47</xm:sqref>
        </x14:dataValidation>
        <x14:dataValidation type="list" allowBlank="1" showInputMessage="1" showErrorMessage="1" xr:uid="{50B7D7AB-3ADB-5C47-90C7-0D4EAA43C40D}">
          <x14:formula1>
            <xm:f>'0.List'!$B$2:$B$3</xm:f>
          </x14:formula1>
          <xm:sqref>C4:D47</xm:sqref>
        </x14:dataValidation>
        <x14:dataValidation type="list" allowBlank="1" showInputMessage="1" showErrorMessage="1" xr:uid="{6620C04F-BCFC-9247-ADA2-A17FC7D4044B}">
          <x14:formula1>
            <xm:f>'0.List'!$C$2:$C$21</xm:f>
          </x14:formula1>
          <xm:sqref>E4:N47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2AA1-CC88-2642-ABC2-A36FE64D1B58}">
  <dimension ref="A1:E12"/>
  <sheetViews>
    <sheetView workbookViewId="0"/>
  </sheetViews>
  <sheetFormatPr baseColWidth="10" defaultRowHeight="18"/>
  <cols>
    <col min="3" max="3" width="45.28515625" customWidth="1"/>
  </cols>
  <sheetData>
    <row r="1" spans="1:5" ht="18" customHeight="1">
      <c r="A1" s="1" t="s">
        <v>0</v>
      </c>
      <c r="B1" s="16" t="s">
        <v>44</v>
      </c>
      <c r="C1" s="2" t="s">
        <v>6</v>
      </c>
      <c r="D1" s="3" t="s">
        <v>3</v>
      </c>
    </row>
    <row r="2" spans="1:5">
      <c r="A2" s="4" t="s">
        <v>2</v>
      </c>
      <c r="B2" s="4" t="s">
        <v>41</v>
      </c>
      <c r="C2" s="4" t="s">
        <v>18</v>
      </c>
      <c r="D2" s="4" t="s">
        <v>5</v>
      </c>
      <c r="E2" s="4"/>
    </row>
    <row r="3" spans="1:5">
      <c r="A3" s="4" t="s">
        <v>16</v>
      </c>
      <c r="B3" s="4" t="s">
        <v>43</v>
      </c>
      <c r="C3" s="4" t="s">
        <v>20</v>
      </c>
      <c r="D3" s="4"/>
      <c r="E3" s="4"/>
    </row>
    <row r="4" spans="1:5">
      <c r="A4" s="4"/>
      <c r="B4" s="4"/>
      <c r="C4" s="4" t="s">
        <v>22</v>
      </c>
      <c r="D4" s="4"/>
      <c r="E4" s="4"/>
    </row>
    <row r="5" spans="1:5">
      <c r="C5" s="4" t="s">
        <v>24</v>
      </c>
    </row>
    <row r="6" spans="1:5">
      <c r="C6" s="4" t="s">
        <v>26</v>
      </c>
    </row>
    <row r="7" spans="1:5">
      <c r="C7" s="4" t="s">
        <v>35</v>
      </c>
    </row>
    <row r="8" spans="1:5">
      <c r="C8" s="4" t="s">
        <v>30</v>
      </c>
    </row>
    <row r="9" spans="1:5">
      <c r="C9" s="4" t="s">
        <v>28</v>
      </c>
    </row>
    <row r="10" spans="1:5">
      <c r="C10" s="4" t="s">
        <v>39</v>
      </c>
    </row>
    <row r="11" spans="1:5">
      <c r="C11" s="4" t="s">
        <v>37</v>
      </c>
    </row>
    <row r="12" spans="1:5">
      <c r="C12" s="4" t="s">
        <v>47</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591F4-0D15-D847-80EF-1A1F411C94AE}">
  <dimension ref="B2:J28"/>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49</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81</v>
      </c>
    </row>
    <row r="10" spans="2:10">
      <c r="D10" s="17" t="s">
        <v>52</v>
      </c>
      <c r="E10" s="17" t="s">
        <v>56</v>
      </c>
      <c r="H10" s="18" t="s">
        <v>58</v>
      </c>
      <c r="I10" s="17" t="s">
        <v>54</v>
      </c>
    </row>
    <row r="11" spans="2:10">
      <c r="H11" s="18" t="s">
        <v>59</v>
      </c>
      <c r="I11" s="17" t="s">
        <v>57</v>
      </c>
    </row>
    <row r="12" spans="2:10">
      <c r="H12" s="18" t="s">
        <v>60</v>
      </c>
      <c r="I12" s="17" t="s">
        <v>63</v>
      </c>
    </row>
    <row r="13" spans="2:10">
      <c r="H13" s="18" t="s">
        <v>61</v>
      </c>
      <c r="I13" s="17" t="s">
        <v>64</v>
      </c>
    </row>
    <row r="14" spans="2:10">
      <c r="H14" s="18" t="s">
        <v>62</v>
      </c>
      <c r="I14" s="17" t="s">
        <v>65</v>
      </c>
    </row>
    <row r="15" spans="2:10">
      <c r="H15" s="18"/>
    </row>
    <row r="16" spans="2:10">
      <c r="B16" s="17" t="s">
        <v>67</v>
      </c>
      <c r="C16" s="17" t="s">
        <v>74</v>
      </c>
    </row>
    <row r="17" spans="2:9">
      <c r="D17" s="17" t="s">
        <v>52</v>
      </c>
      <c r="E17" s="17" t="s">
        <v>75</v>
      </c>
    </row>
    <row r="18" spans="2:9">
      <c r="H18" s="18"/>
    </row>
    <row r="19" spans="2:9">
      <c r="B19" s="17" t="s">
        <v>73</v>
      </c>
      <c r="C19" s="17" t="s">
        <v>76</v>
      </c>
    </row>
    <row r="20" spans="2:9">
      <c r="D20" s="17" t="s">
        <v>52</v>
      </c>
      <c r="E20" s="19" t="s">
        <v>78</v>
      </c>
      <c r="G20" s="17" t="s">
        <v>79</v>
      </c>
    </row>
    <row r="21" spans="2:9">
      <c r="H21" s="18"/>
    </row>
    <row r="22" spans="2:9">
      <c r="B22" s="17" t="s">
        <v>77</v>
      </c>
      <c r="C22" s="17" t="s">
        <v>66</v>
      </c>
    </row>
    <row r="23" spans="2:9">
      <c r="D23" s="17" t="s">
        <v>52</v>
      </c>
      <c r="E23" s="17" t="s">
        <v>55</v>
      </c>
      <c r="H23" s="17" t="s">
        <v>80</v>
      </c>
    </row>
    <row r="24" spans="2:9">
      <c r="D24" s="17" t="s">
        <v>52</v>
      </c>
      <c r="E24" s="17" t="s">
        <v>66</v>
      </c>
      <c r="H24" s="18" t="s">
        <v>58</v>
      </c>
      <c r="I24" s="17">
        <v>0</v>
      </c>
    </row>
    <row r="25" spans="2:9">
      <c r="H25" s="18" t="s">
        <v>59</v>
      </c>
      <c r="I25" s="17">
        <v>1</v>
      </c>
    </row>
    <row r="26" spans="2:9">
      <c r="H26" s="18" t="s">
        <v>60</v>
      </c>
      <c r="I26" s="17">
        <v>2</v>
      </c>
    </row>
    <row r="27" spans="2:9">
      <c r="H27" s="18" t="s">
        <v>61</v>
      </c>
      <c r="I27" s="17">
        <v>3</v>
      </c>
    </row>
    <row r="28" spans="2:9">
      <c r="H28" s="18" t="s">
        <v>62</v>
      </c>
      <c r="I28" s="17">
        <v>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68BAF-58A2-6142-8EEA-FF8414FB9BFF}">
  <dimension ref="B2:J24"/>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87</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82</v>
      </c>
    </row>
    <row r="10" spans="2:10">
      <c r="D10" s="17" t="s">
        <v>52</v>
      </c>
      <c r="E10" s="17" t="s">
        <v>56</v>
      </c>
      <c r="H10" s="18" t="s">
        <v>58</v>
      </c>
      <c r="I10" s="17" t="s">
        <v>85</v>
      </c>
    </row>
    <row r="11" spans="2:10">
      <c r="H11" s="18" t="s">
        <v>59</v>
      </c>
      <c r="I11" s="17" t="s">
        <v>72</v>
      </c>
    </row>
    <row r="12" spans="2:10">
      <c r="H12" s="18" t="s">
        <v>60</v>
      </c>
      <c r="I12" s="17" t="s">
        <v>86</v>
      </c>
    </row>
    <row r="13" spans="2:10">
      <c r="H13" s="18"/>
    </row>
    <row r="14" spans="2:10">
      <c r="B14" s="17" t="s">
        <v>67</v>
      </c>
      <c r="C14" s="17" t="s">
        <v>74</v>
      </c>
    </row>
    <row r="15" spans="2:10">
      <c r="D15" s="17" t="s">
        <v>52</v>
      </c>
      <c r="E15" s="17" t="s">
        <v>83</v>
      </c>
    </row>
    <row r="16" spans="2:10">
      <c r="H16" s="18"/>
    </row>
    <row r="17" spans="2:9">
      <c r="B17" s="17" t="s">
        <v>73</v>
      </c>
      <c r="C17" s="17" t="s">
        <v>76</v>
      </c>
    </row>
    <row r="18" spans="2:9">
      <c r="D18" s="17" t="s">
        <v>52</v>
      </c>
      <c r="E18" s="19" t="s">
        <v>78</v>
      </c>
      <c r="G18" s="17" t="s">
        <v>79</v>
      </c>
    </row>
    <row r="19" spans="2:9">
      <c r="H19" s="18"/>
    </row>
    <row r="20" spans="2:9">
      <c r="B20" s="17" t="s">
        <v>77</v>
      </c>
      <c r="C20" s="17" t="s">
        <v>66</v>
      </c>
    </row>
    <row r="21" spans="2:9">
      <c r="D21" s="17" t="s">
        <v>52</v>
      </c>
      <c r="E21" s="17" t="s">
        <v>55</v>
      </c>
      <c r="H21" s="17" t="s">
        <v>84</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16228-C0C8-6342-B9B4-DC82B1003A27}">
  <dimension ref="B2:J24"/>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88</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103</v>
      </c>
    </row>
    <row r="10" spans="2:10">
      <c r="D10" s="17" t="s">
        <v>52</v>
      </c>
      <c r="E10" s="17" t="s">
        <v>56</v>
      </c>
      <c r="H10" s="18" t="s">
        <v>58</v>
      </c>
      <c r="I10" s="17" t="s">
        <v>89</v>
      </c>
    </row>
    <row r="11" spans="2:10">
      <c r="H11" s="18" t="s">
        <v>59</v>
      </c>
      <c r="I11" s="17" t="s">
        <v>90</v>
      </c>
    </row>
    <row r="12" spans="2:10">
      <c r="H12" s="18" t="s">
        <v>60</v>
      </c>
    </row>
    <row r="13" spans="2:10">
      <c r="H13" s="18"/>
    </row>
    <row r="14" spans="2:10">
      <c r="B14" s="17" t="s">
        <v>67</v>
      </c>
      <c r="C14" s="17" t="s">
        <v>74</v>
      </c>
    </row>
    <row r="15" spans="2:10">
      <c r="D15" s="17" t="s">
        <v>52</v>
      </c>
      <c r="E15" s="17" t="s">
        <v>91</v>
      </c>
    </row>
    <row r="16" spans="2:10">
      <c r="H16" s="18"/>
    </row>
    <row r="17" spans="2:9">
      <c r="B17" s="17" t="s">
        <v>73</v>
      </c>
      <c r="C17" s="17" t="s">
        <v>76</v>
      </c>
    </row>
    <row r="18" spans="2:9">
      <c r="D18" s="17" t="s">
        <v>52</v>
      </c>
      <c r="E18" s="19" t="s">
        <v>78</v>
      </c>
      <c r="G18" s="17" t="s">
        <v>79</v>
      </c>
    </row>
    <row r="19" spans="2:9">
      <c r="H19" s="18"/>
    </row>
    <row r="20" spans="2:9">
      <c r="B20" s="17" t="s">
        <v>77</v>
      </c>
      <c r="C20" s="17" t="s">
        <v>66</v>
      </c>
    </row>
    <row r="21" spans="2:9">
      <c r="D21" s="17" t="s">
        <v>52</v>
      </c>
      <c r="E21" s="17" t="s">
        <v>55</v>
      </c>
      <c r="H21" s="17" t="s">
        <v>104</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BE25-F341-BF46-936B-CD4E0D67571B}">
  <dimension ref="B2:J24"/>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95</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105</v>
      </c>
    </row>
    <row r="10" spans="2:10">
      <c r="D10" s="17" t="s">
        <v>52</v>
      </c>
      <c r="E10" s="17" t="s">
        <v>56</v>
      </c>
      <c r="H10" s="18" t="s">
        <v>58</v>
      </c>
      <c r="I10" s="17" t="s">
        <v>92</v>
      </c>
    </row>
    <row r="11" spans="2:10">
      <c r="H11" s="18" t="s">
        <v>59</v>
      </c>
      <c r="I11" s="17" t="s">
        <v>93</v>
      </c>
    </row>
    <row r="12" spans="2:10">
      <c r="H12" s="18" t="s">
        <v>60</v>
      </c>
    </row>
    <row r="13" spans="2:10">
      <c r="H13" s="18"/>
    </row>
    <row r="14" spans="2:10">
      <c r="B14" s="17" t="s">
        <v>67</v>
      </c>
      <c r="C14" s="17" t="s">
        <v>74</v>
      </c>
    </row>
    <row r="15" spans="2:10">
      <c r="D15" s="17" t="s">
        <v>52</v>
      </c>
      <c r="E15" s="17" t="s">
        <v>94</v>
      </c>
    </row>
    <row r="16" spans="2:10">
      <c r="H16" s="18"/>
    </row>
    <row r="17" spans="2:9">
      <c r="B17" s="17" t="s">
        <v>73</v>
      </c>
      <c r="C17" s="17" t="s">
        <v>76</v>
      </c>
    </row>
    <row r="18" spans="2:9">
      <c r="D18" s="17" t="s">
        <v>52</v>
      </c>
      <c r="E18" s="19" t="s">
        <v>78</v>
      </c>
      <c r="G18" s="17" t="s">
        <v>79</v>
      </c>
    </row>
    <row r="19" spans="2:9">
      <c r="H19" s="18"/>
    </row>
    <row r="20" spans="2:9">
      <c r="B20" s="17" t="s">
        <v>77</v>
      </c>
      <c r="C20" s="17" t="s">
        <v>66</v>
      </c>
    </row>
    <row r="21" spans="2:9">
      <c r="D21" s="17" t="s">
        <v>52</v>
      </c>
      <c r="E21" s="17" t="s">
        <v>55</v>
      </c>
      <c r="H21" s="17" t="s">
        <v>106</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AC81B-B401-7E41-8720-2E4754750FBC}">
  <dimension ref="B2:J26"/>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96</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97</v>
      </c>
    </row>
    <row r="10" spans="2:10">
      <c r="D10" s="17" t="s">
        <v>52</v>
      </c>
      <c r="E10" s="17" t="s">
        <v>56</v>
      </c>
      <c r="H10" s="18" t="s">
        <v>58</v>
      </c>
      <c r="I10" s="17" t="s">
        <v>98</v>
      </c>
    </row>
    <row r="11" spans="2:10">
      <c r="H11" s="18" t="s">
        <v>59</v>
      </c>
      <c r="I11" s="17" t="s">
        <v>99</v>
      </c>
    </row>
    <row r="12" spans="2:10">
      <c r="H12" s="18" t="s">
        <v>60</v>
      </c>
      <c r="I12" s="17" t="s">
        <v>100</v>
      </c>
    </row>
    <row r="13" spans="2:10">
      <c r="H13" s="18" t="s">
        <v>101</v>
      </c>
    </row>
    <row r="14" spans="2:10">
      <c r="H14" s="18"/>
    </row>
    <row r="15" spans="2:10">
      <c r="B15" s="17" t="s">
        <v>67</v>
      </c>
      <c r="C15" s="17" t="s">
        <v>74</v>
      </c>
    </row>
    <row r="16" spans="2:10">
      <c r="D16" s="17" t="s">
        <v>52</v>
      </c>
      <c r="E16" s="17" t="s">
        <v>102</v>
      </c>
    </row>
    <row r="17" spans="2:9">
      <c r="H17" s="18"/>
    </row>
    <row r="18" spans="2:9">
      <c r="B18" s="17" t="s">
        <v>73</v>
      </c>
      <c r="C18" s="17" t="s">
        <v>76</v>
      </c>
    </row>
    <row r="19" spans="2:9">
      <c r="D19" s="17" t="s">
        <v>52</v>
      </c>
      <c r="E19" s="19" t="s">
        <v>78</v>
      </c>
      <c r="G19" s="17" t="s">
        <v>79</v>
      </c>
    </row>
    <row r="20" spans="2:9">
      <c r="H20" s="18"/>
    </row>
    <row r="21" spans="2:9">
      <c r="B21" s="17" t="s">
        <v>77</v>
      </c>
      <c r="C21" s="17" t="s">
        <v>66</v>
      </c>
    </row>
    <row r="22" spans="2:9">
      <c r="D22" s="17" t="s">
        <v>52</v>
      </c>
      <c r="E22" s="17" t="s">
        <v>55</v>
      </c>
      <c r="H22" s="17" t="s">
        <v>107</v>
      </c>
    </row>
    <row r="23" spans="2:9">
      <c r="D23" s="17" t="s">
        <v>52</v>
      </c>
      <c r="E23" s="17" t="s">
        <v>66</v>
      </c>
      <c r="H23" s="18" t="s">
        <v>58</v>
      </c>
      <c r="I23" s="17">
        <v>0</v>
      </c>
    </row>
    <row r="24" spans="2:9">
      <c r="H24" s="18" t="s">
        <v>59</v>
      </c>
      <c r="I24" s="17">
        <v>1</v>
      </c>
    </row>
    <row r="25" spans="2:9">
      <c r="H25" s="18" t="s">
        <v>60</v>
      </c>
      <c r="I25" s="17">
        <v>2</v>
      </c>
    </row>
    <row r="26" spans="2:9">
      <c r="H26" s="18" t="s">
        <v>101</v>
      </c>
      <c r="I26" s="17">
        <v>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B5AA-69F5-E744-B986-586009E54737}">
  <dimension ref="B2:J36"/>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120</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108</v>
      </c>
    </row>
    <row r="10" spans="2:10">
      <c r="D10" s="17" t="s">
        <v>52</v>
      </c>
      <c r="E10" s="17" t="s">
        <v>56</v>
      </c>
      <c r="H10" s="18" t="s">
        <v>58</v>
      </c>
      <c r="I10" s="17" t="s">
        <v>111</v>
      </c>
    </row>
    <row r="11" spans="2:10">
      <c r="H11" s="18" t="s">
        <v>59</v>
      </c>
      <c r="I11" s="17" t="s">
        <v>112</v>
      </c>
    </row>
    <row r="12" spans="2:10">
      <c r="H12" s="18" t="s">
        <v>60</v>
      </c>
      <c r="I12" s="17" t="s">
        <v>113</v>
      </c>
    </row>
    <row r="13" spans="2:10">
      <c r="H13" s="18" t="s">
        <v>101</v>
      </c>
      <c r="I13" s="17" t="s">
        <v>114</v>
      </c>
    </row>
    <row r="14" spans="2:10">
      <c r="H14" s="18" t="s">
        <v>115</v>
      </c>
      <c r="I14" s="17" t="s">
        <v>117</v>
      </c>
    </row>
    <row r="15" spans="2:10">
      <c r="H15" s="18" t="s">
        <v>116</v>
      </c>
      <c r="I15" s="17" t="s">
        <v>137</v>
      </c>
    </row>
    <row r="16" spans="2:10">
      <c r="H16" s="18" t="s">
        <v>119</v>
      </c>
      <c r="I16" s="17" t="s">
        <v>138</v>
      </c>
    </row>
    <row r="17" spans="2:9">
      <c r="H17" s="18" t="s">
        <v>131</v>
      </c>
      <c r="I17" s="17" t="s">
        <v>118</v>
      </c>
    </row>
    <row r="18" spans="2:9">
      <c r="H18" s="18" t="s">
        <v>136</v>
      </c>
    </row>
    <row r="19" spans="2:9">
      <c r="H19" s="18"/>
    </row>
    <row r="20" spans="2:9">
      <c r="B20" s="17" t="s">
        <v>67</v>
      </c>
      <c r="C20" s="17" t="s">
        <v>74</v>
      </c>
    </row>
    <row r="21" spans="2:9">
      <c r="D21" s="17" t="s">
        <v>52</v>
      </c>
      <c r="E21" s="17" t="s">
        <v>109</v>
      </c>
    </row>
    <row r="22" spans="2:9">
      <c r="H22" s="18"/>
    </row>
    <row r="23" spans="2:9">
      <c r="B23" s="17" t="s">
        <v>73</v>
      </c>
      <c r="C23" s="17" t="s">
        <v>76</v>
      </c>
    </row>
    <row r="24" spans="2:9">
      <c r="D24" s="17" t="s">
        <v>52</v>
      </c>
      <c r="E24" s="19" t="s">
        <v>78</v>
      </c>
      <c r="G24" s="17" t="s">
        <v>79</v>
      </c>
    </row>
    <row r="25" spans="2:9">
      <c r="H25" s="18"/>
    </row>
    <row r="26" spans="2:9">
      <c r="B26" s="17" t="s">
        <v>77</v>
      </c>
      <c r="C26" s="17" t="s">
        <v>66</v>
      </c>
    </row>
    <row r="27" spans="2:9">
      <c r="D27" s="17" t="s">
        <v>52</v>
      </c>
      <c r="E27" s="17" t="s">
        <v>55</v>
      </c>
      <c r="H27" s="17" t="s">
        <v>110</v>
      </c>
    </row>
    <row r="28" spans="2:9">
      <c r="D28" s="17" t="s">
        <v>52</v>
      </c>
      <c r="E28" s="17" t="s">
        <v>66</v>
      </c>
      <c r="H28" s="18" t="s">
        <v>58</v>
      </c>
      <c r="I28" s="17">
        <v>0</v>
      </c>
    </row>
    <row r="29" spans="2:9">
      <c r="H29" s="18" t="s">
        <v>59</v>
      </c>
      <c r="I29" s="17">
        <v>1</v>
      </c>
    </row>
    <row r="30" spans="2:9">
      <c r="H30" s="18" t="s">
        <v>60</v>
      </c>
      <c r="I30" s="17">
        <v>2</v>
      </c>
    </row>
    <row r="31" spans="2:9">
      <c r="H31" s="18" t="s">
        <v>101</v>
      </c>
      <c r="I31" s="17">
        <v>3</v>
      </c>
    </row>
    <row r="32" spans="2:9">
      <c r="H32" s="18" t="s">
        <v>115</v>
      </c>
      <c r="I32" s="17">
        <v>4</v>
      </c>
    </row>
    <row r="33" spans="8:9">
      <c r="H33" s="18" t="s">
        <v>116</v>
      </c>
      <c r="I33" s="17">
        <v>5</v>
      </c>
    </row>
    <row r="34" spans="8:9">
      <c r="H34" s="18" t="s">
        <v>119</v>
      </c>
      <c r="I34" s="17">
        <v>6</v>
      </c>
    </row>
    <row r="35" spans="8:9">
      <c r="H35" s="18" t="s">
        <v>130</v>
      </c>
      <c r="I35" s="17">
        <v>7</v>
      </c>
    </row>
    <row r="36" spans="8:9">
      <c r="H36" s="18" t="s">
        <v>135</v>
      </c>
      <c r="I36" s="17">
        <v>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34723-8A4C-E444-BCE1-2910CE25E258}">
  <dimension ref="B2:J34"/>
  <sheetViews>
    <sheetView workbookViewId="0">
      <selection activeCell="H27" sqref="H27"/>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134</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121</v>
      </c>
      <c r="H9" s="17" t="s">
        <v>122</v>
      </c>
    </row>
    <row r="10" spans="2:10">
      <c r="D10" s="17" t="s">
        <v>52</v>
      </c>
      <c r="E10" s="17" t="s">
        <v>56</v>
      </c>
      <c r="H10" s="18" t="s">
        <v>58</v>
      </c>
      <c r="I10" s="17" t="s">
        <v>123</v>
      </c>
    </row>
    <row r="11" spans="2:10">
      <c r="H11" s="18" t="s">
        <v>59</v>
      </c>
      <c r="I11" s="17" t="s">
        <v>124</v>
      </c>
    </row>
    <row r="12" spans="2:10">
      <c r="H12" s="18" t="s">
        <v>60</v>
      </c>
      <c r="I12" s="17" t="s">
        <v>125</v>
      </c>
    </row>
    <row r="13" spans="2:10">
      <c r="H13" s="18" t="s">
        <v>101</v>
      </c>
      <c r="I13" s="17" t="s">
        <v>126</v>
      </c>
    </row>
    <row r="14" spans="2:10">
      <c r="H14" s="18" t="s">
        <v>115</v>
      </c>
      <c r="I14" s="17" t="s">
        <v>127</v>
      </c>
    </row>
    <row r="15" spans="2:10">
      <c r="H15" s="18" t="s">
        <v>116</v>
      </c>
      <c r="I15" s="17" t="s">
        <v>128</v>
      </c>
    </row>
    <row r="16" spans="2:10">
      <c r="H16" s="18" t="s">
        <v>119</v>
      </c>
      <c r="I16" s="17" t="s">
        <v>129</v>
      </c>
    </row>
    <row r="17" spans="2:9">
      <c r="H17" s="18" t="s">
        <v>131</v>
      </c>
      <c r="I17" s="17" t="s">
        <v>132</v>
      </c>
    </row>
    <row r="18" spans="2:9">
      <c r="H18" s="18"/>
    </row>
    <row r="19" spans="2:9">
      <c r="B19" s="17" t="s">
        <v>67</v>
      </c>
      <c r="C19" s="17" t="s">
        <v>74</v>
      </c>
    </row>
    <row r="20" spans="2:9">
      <c r="D20" s="17" t="s">
        <v>52</v>
      </c>
      <c r="E20" s="17" t="s">
        <v>133</v>
      </c>
    </row>
    <row r="21" spans="2:9">
      <c r="H21" s="18"/>
    </row>
    <row r="22" spans="2:9">
      <c r="B22" s="17" t="s">
        <v>73</v>
      </c>
      <c r="C22" s="17" t="s">
        <v>76</v>
      </c>
    </row>
    <row r="23" spans="2:9">
      <c r="D23" s="17" t="s">
        <v>52</v>
      </c>
      <c r="E23" s="19" t="s">
        <v>78</v>
      </c>
      <c r="G23" s="17" t="s">
        <v>79</v>
      </c>
    </row>
    <row r="24" spans="2:9">
      <c r="H24" s="18"/>
    </row>
    <row r="25" spans="2:9">
      <c r="B25" s="17" t="s">
        <v>77</v>
      </c>
      <c r="C25" s="17" t="s">
        <v>66</v>
      </c>
    </row>
    <row r="26" spans="2:9">
      <c r="D26" s="17" t="s">
        <v>52</v>
      </c>
      <c r="E26" s="17" t="s">
        <v>55</v>
      </c>
      <c r="H26" s="17" t="s">
        <v>142</v>
      </c>
    </row>
    <row r="27" spans="2:9">
      <c r="D27" s="17" t="s">
        <v>52</v>
      </c>
      <c r="E27" s="17" t="s">
        <v>66</v>
      </c>
      <c r="H27" s="18" t="s">
        <v>58</v>
      </c>
      <c r="I27" s="17">
        <v>0</v>
      </c>
    </row>
    <row r="28" spans="2:9">
      <c r="H28" s="18" t="s">
        <v>59</v>
      </c>
      <c r="I28" s="17">
        <v>1</v>
      </c>
    </row>
    <row r="29" spans="2:9">
      <c r="H29" s="18" t="s">
        <v>60</v>
      </c>
      <c r="I29" s="17">
        <v>2</v>
      </c>
    </row>
    <row r="30" spans="2:9">
      <c r="H30" s="18" t="s">
        <v>101</v>
      </c>
      <c r="I30" s="17">
        <v>3</v>
      </c>
    </row>
    <row r="31" spans="2:9">
      <c r="H31" s="18" t="s">
        <v>115</v>
      </c>
      <c r="I31" s="17">
        <v>4</v>
      </c>
    </row>
    <row r="32" spans="2:9">
      <c r="H32" s="18" t="s">
        <v>116</v>
      </c>
      <c r="I32" s="17">
        <v>5</v>
      </c>
    </row>
    <row r="33" spans="8:9">
      <c r="H33" s="18" t="s">
        <v>119</v>
      </c>
      <c r="I33" s="17">
        <v>6</v>
      </c>
    </row>
    <row r="34" spans="8:9">
      <c r="H34" s="18" t="s">
        <v>130</v>
      </c>
      <c r="I34" s="17">
        <v>7</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33728-3A94-364E-B505-9E25F6889CCD}">
  <dimension ref="B2:J20"/>
  <sheetViews>
    <sheetView workbookViewId="0"/>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144</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121</v>
      </c>
      <c r="H9" s="17" t="s">
        <v>139</v>
      </c>
    </row>
    <row r="10" spans="2:10">
      <c r="D10" s="17" t="s">
        <v>52</v>
      </c>
      <c r="E10" s="17" t="s">
        <v>56</v>
      </c>
      <c r="H10" s="18" t="s">
        <v>58</v>
      </c>
      <c r="I10" s="17" t="s">
        <v>140</v>
      </c>
    </row>
    <row r="11" spans="2:10">
      <c r="H11" s="18"/>
    </row>
    <row r="12" spans="2:10">
      <c r="B12" s="17" t="s">
        <v>67</v>
      </c>
      <c r="C12" s="17" t="s">
        <v>74</v>
      </c>
    </row>
    <row r="13" spans="2:10">
      <c r="D13" s="17" t="s">
        <v>52</v>
      </c>
      <c r="E13" s="17" t="s">
        <v>141</v>
      </c>
    </row>
    <row r="14" spans="2:10">
      <c r="H14" s="18"/>
    </row>
    <row r="15" spans="2:10">
      <c r="B15" s="17" t="s">
        <v>73</v>
      </c>
      <c r="C15" s="17" t="s">
        <v>76</v>
      </c>
    </row>
    <row r="16" spans="2:10">
      <c r="D16" s="17" t="s">
        <v>52</v>
      </c>
      <c r="E16" s="19" t="s">
        <v>78</v>
      </c>
      <c r="G16" s="17" t="s">
        <v>79</v>
      </c>
    </row>
    <row r="17" spans="2:9">
      <c r="H17" s="18"/>
    </row>
    <row r="18" spans="2:9">
      <c r="B18" s="17" t="s">
        <v>77</v>
      </c>
      <c r="C18" s="17" t="s">
        <v>66</v>
      </c>
    </row>
    <row r="19" spans="2:9">
      <c r="D19" s="17" t="s">
        <v>52</v>
      </c>
      <c r="E19" s="17" t="s">
        <v>55</v>
      </c>
      <c r="H19" s="17" t="s">
        <v>143</v>
      </c>
    </row>
    <row r="20" spans="2:9">
      <c r="D20" s="17" t="s">
        <v>52</v>
      </c>
      <c r="E20" s="17" t="s">
        <v>66</v>
      </c>
      <c r="H20" s="18" t="s">
        <v>58</v>
      </c>
      <c r="I20" s="17" t="s">
        <v>140</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09628-EE75-744E-A02D-8C38391A5FE3}">
  <dimension ref="B2:H20"/>
  <sheetViews>
    <sheetView workbookViewId="0"/>
  </sheetViews>
  <sheetFormatPr baseColWidth="10" defaultColWidth="2.7109375" defaultRowHeight="15"/>
  <cols>
    <col min="1" max="4" width="2.7109375" style="17"/>
    <col min="5" max="5" width="2.7109375" style="17" customWidth="1"/>
    <col min="6" max="16384" width="2.7109375" style="17"/>
  </cols>
  <sheetData>
    <row r="2" spans="2:8">
      <c r="B2" s="17" t="s">
        <v>50</v>
      </c>
      <c r="C2" s="17" t="s">
        <v>48</v>
      </c>
    </row>
    <row r="3" spans="2:8">
      <c r="D3" s="17" t="s">
        <v>52</v>
      </c>
      <c r="E3" s="17" t="s">
        <v>145</v>
      </c>
    </row>
    <row r="5" spans="2:8">
      <c r="B5" s="17" t="s">
        <v>51</v>
      </c>
    </row>
    <row r="10" spans="2:8">
      <c r="H10" s="18"/>
    </row>
    <row r="11" spans="2:8">
      <c r="H11" s="18"/>
    </row>
    <row r="14" spans="2:8">
      <c r="H14" s="18"/>
    </row>
    <row r="16" spans="2:8">
      <c r="E16" s="19"/>
    </row>
    <row r="17" spans="8:8">
      <c r="H17" s="18"/>
    </row>
    <row r="20" spans="8:8">
      <c r="H20" s="18"/>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워크시트</vt:lpstr>
      </vt:variant>
      <vt:variant>
        <vt:i4>11</vt:i4>
      </vt:variant>
    </vt:vector>
  </HeadingPairs>
  <TitlesOfParts>
    <vt:vector size="11" baseType="lpstr">
      <vt:lpstr>Gantt Chart</vt:lpstr>
      <vt:lpstr>0.List</vt:lpstr>
      <vt:lpstr>1.check_data_encoding</vt:lpstr>
      <vt:lpstr>2.check_data_newLine</vt:lpstr>
      <vt:lpstr>3.check_data_enclosing</vt:lpstr>
      <vt:lpstr>4.check_data_delimiting</vt:lpstr>
      <vt:lpstr>5.check_data_outputType</vt:lpstr>
      <vt:lpstr>6.check_data_trim</vt:lpstr>
      <vt:lpstr>7.check_data_dataType</vt:lpstr>
      <vt:lpstr>8.check_data_fileName</vt:lpstr>
      <vt:lpstr>9.main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정 민기</dc:creator>
  <cp:lastModifiedBy>정 민기</cp:lastModifiedBy>
  <dcterms:created xsi:type="dcterms:W3CDTF">2024-03-26T11:59:05Z</dcterms:created>
  <dcterms:modified xsi:type="dcterms:W3CDTF">2024-03-27T14:38:00Z</dcterms:modified>
</cp:coreProperties>
</file>